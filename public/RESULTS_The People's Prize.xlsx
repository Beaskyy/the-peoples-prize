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user/Documents/Personal Work/THE PEOPLE'S PRIZE/RESULTS/Cleaned Copy/"/>
    </mc:Choice>
  </mc:AlternateContent>
  <xr:revisionPtr revIDLastSave="0" documentId="13_ncr:1_{8C581231-F7F9-1345-8F78-BF9E7C93C19F}" xr6:coauthVersionLast="47" xr6:coauthVersionMax="47" xr10:uidLastSave="{00000000-0000-0000-0000-000000000000}"/>
  <bookViews>
    <workbookView xWindow="0" yWindow="500" windowWidth="33600" windowHeight="20500" xr2:uid="{00000000-000D-0000-FFFF-FFFF00000000}"/>
  </bookViews>
  <sheets>
    <sheet name="Results_2025" sheetId="2" r:id="rId1"/>
  </sheets>
  <externalReferences>
    <externalReference r:id="rId2"/>
  </externalReferences>
  <definedNames>
    <definedName name="loan_repayment_flag">'[1]Timing &amp; Flag'!$N$55:$R$55</definedName>
    <definedName name="model_startdate">[1]Cover!$D$15</definedName>
    <definedName name="One" localSheetId="0">Results_2025!#REF!</definedName>
    <definedName name="One">#REF!</definedName>
    <definedName name="One_Million" localSheetId="0">Results_2025!#REF!</definedName>
    <definedName name="One_Million">#REF!</definedName>
    <definedName name="ops_flag">'[1]Timing &amp; Flag'!$N$36:$R$36</definedName>
    <definedName name="Ops_start_date">[1]Cover!$D$17</definedName>
    <definedName name="unit_of_value_scenario_switch" localSheetId="0">Results_2025!$B$3</definedName>
    <definedName name="unit_of_value_scenario_switch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8" i="2" l="1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J33" i="2"/>
  <c r="J34" i="2"/>
  <c r="J35" i="2"/>
  <c r="J36" i="2"/>
  <c r="J37" i="2"/>
  <c r="J38" i="2"/>
  <c r="J39" i="2"/>
  <c r="J40" i="2"/>
  <c r="J41" i="2"/>
  <c r="J42" i="2"/>
  <c r="J43" i="2"/>
  <c r="J44" i="2"/>
  <c r="J45" i="2"/>
  <c r="J46" i="2"/>
  <c r="J47" i="2"/>
  <c r="J48" i="2"/>
  <c r="J49" i="2"/>
  <c r="J50" i="2"/>
  <c r="J51" i="2"/>
  <c r="J52" i="2"/>
  <c r="J53" i="2"/>
  <c r="J54" i="2"/>
  <c r="J55" i="2"/>
  <c r="J56" i="2"/>
  <c r="J57" i="2"/>
  <c r="J58" i="2"/>
  <c r="J59" i="2"/>
  <c r="J60" i="2"/>
  <c r="J61" i="2"/>
  <c r="J62" i="2"/>
  <c r="J63" i="2"/>
  <c r="J64" i="2"/>
  <c r="J65" i="2"/>
  <c r="J66" i="2"/>
  <c r="J67" i="2"/>
  <c r="J68" i="2"/>
  <c r="J69" i="2"/>
  <c r="J70" i="2"/>
  <c r="J71" i="2"/>
  <c r="J72" i="2"/>
  <c r="J73" i="2"/>
  <c r="J74" i="2"/>
  <c r="J75" i="2"/>
  <c r="J76" i="2"/>
  <c r="J77" i="2"/>
  <c r="J78" i="2"/>
  <c r="J79" i="2"/>
  <c r="J80" i="2"/>
  <c r="J81" i="2"/>
  <c r="J82" i="2"/>
  <c r="J83" i="2"/>
  <c r="J84" i="2"/>
  <c r="J85" i="2"/>
  <c r="J86" i="2"/>
  <c r="J87" i="2"/>
  <c r="J88" i="2"/>
  <c r="J89" i="2"/>
  <c r="J90" i="2"/>
  <c r="J91" i="2"/>
  <c r="J92" i="2"/>
  <c r="J93" i="2"/>
  <c r="J94" i="2"/>
  <c r="J95" i="2"/>
  <c r="J96" i="2"/>
  <c r="J97" i="2"/>
  <c r="J98" i="2"/>
  <c r="J99" i="2"/>
  <c r="J100" i="2"/>
  <c r="J101" i="2"/>
  <c r="J102" i="2"/>
  <c r="J103" i="2"/>
  <c r="J104" i="2"/>
  <c r="J105" i="2"/>
  <c r="J106" i="2"/>
  <c r="J107" i="2"/>
  <c r="J108" i="2"/>
  <c r="J109" i="2"/>
  <c r="J7" i="2"/>
  <c r="I109" i="2"/>
  <c r="I108" i="2"/>
  <c r="I107" i="2"/>
  <c r="I106" i="2"/>
  <c r="I105" i="2"/>
  <c r="I104" i="2"/>
  <c r="I103" i="2"/>
  <c r="I102" i="2"/>
  <c r="I101" i="2"/>
  <c r="I100" i="2"/>
  <c r="I99" i="2"/>
  <c r="I98" i="2"/>
  <c r="I97" i="2"/>
  <c r="I96" i="2"/>
  <c r="I95" i="2"/>
  <c r="I94" i="2"/>
  <c r="I93" i="2"/>
  <c r="I92" i="2"/>
  <c r="I91" i="2"/>
  <c r="I90" i="2"/>
  <c r="I89" i="2"/>
  <c r="I88" i="2"/>
  <c r="I87" i="2"/>
  <c r="I86" i="2"/>
  <c r="I85" i="2"/>
  <c r="I84" i="2"/>
  <c r="I83" i="2"/>
  <c r="I82" i="2"/>
  <c r="I81" i="2"/>
  <c r="I80" i="2"/>
  <c r="I79" i="2"/>
  <c r="I78" i="2"/>
  <c r="I77" i="2"/>
  <c r="I76" i="2"/>
  <c r="I75" i="2"/>
  <c r="I74" i="2"/>
  <c r="I73" i="2"/>
  <c r="I72" i="2"/>
  <c r="I71" i="2"/>
  <c r="I70" i="2"/>
  <c r="I69" i="2"/>
  <c r="I68" i="2"/>
  <c r="I67" i="2"/>
  <c r="I66" i="2"/>
  <c r="I65" i="2"/>
  <c r="I64" i="2"/>
  <c r="I27" i="2"/>
  <c r="I32" i="2"/>
  <c r="I31" i="2"/>
  <c r="I26" i="2"/>
  <c r="I30" i="2"/>
  <c r="I24" i="2"/>
  <c r="I46" i="2"/>
  <c r="I56" i="2"/>
  <c r="I55" i="2"/>
  <c r="I39" i="2"/>
  <c r="I25" i="2"/>
  <c r="I42" i="2"/>
  <c r="I54" i="2"/>
  <c r="I53" i="2"/>
  <c r="I52" i="2"/>
  <c r="I38" i="2"/>
  <c r="I41" i="2"/>
  <c r="I51" i="2"/>
  <c r="I33" i="2"/>
  <c r="I63" i="2"/>
  <c r="I29" i="2"/>
  <c r="I45" i="2"/>
  <c r="I47" i="2"/>
  <c r="I50" i="2"/>
  <c r="I62" i="2"/>
  <c r="I61" i="2"/>
  <c r="I60" i="2"/>
  <c r="I20" i="2"/>
  <c r="I19" i="2"/>
  <c r="I12" i="2"/>
  <c r="I44" i="2"/>
  <c r="I49" i="2"/>
  <c r="I37" i="2"/>
  <c r="I11" i="2"/>
  <c r="I17" i="2"/>
  <c r="I16" i="2"/>
  <c r="I36" i="2"/>
  <c r="I48" i="2"/>
  <c r="I23" i="2"/>
  <c r="I35" i="2"/>
  <c r="I43" i="2"/>
  <c r="I28" i="2"/>
  <c r="I59" i="2"/>
  <c r="I58" i="2"/>
  <c r="I57" i="2"/>
  <c r="I18" i="2"/>
  <c r="I34" i="2"/>
  <c r="I40" i="2"/>
  <c r="I15" i="2"/>
  <c r="I13" i="2"/>
  <c r="I14" i="2"/>
  <c r="I21" i="2"/>
  <c r="I22" i="2"/>
  <c r="I10" i="2"/>
  <c r="I7" i="2"/>
  <c r="I8" i="2"/>
  <c r="I9" i="2"/>
</calcChain>
</file>

<file path=xl/sharedStrings.xml><?xml version="1.0" encoding="utf-8"?>
<sst xmlns="http://schemas.openxmlformats.org/spreadsheetml/2006/main" count="453" uniqueCount="110">
  <si>
    <t>The People's Prize Nominees</t>
  </si>
  <si>
    <t>Nominees</t>
  </si>
  <si>
    <t>Polytechnic Secondary School, Idah</t>
  </si>
  <si>
    <t>Ezugu Emmanuel Ifanyichukwu</t>
  </si>
  <si>
    <t>Damodu Precious Peace</t>
  </si>
  <si>
    <t>Ekele Allwell Bumojo</t>
  </si>
  <si>
    <t>St. Peters' College</t>
  </si>
  <si>
    <t>St. Kizito Seminary, Idah</t>
  </si>
  <si>
    <t>Ushie Benedict</t>
  </si>
  <si>
    <t>Udochukwu Chijioke Jeffrey</t>
  </si>
  <si>
    <t>Abison Great</t>
  </si>
  <si>
    <t>Agbali Solomon</t>
  </si>
  <si>
    <t>Shisu Isiaka</t>
  </si>
  <si>
    <t>Lord Comprehensive School, Idah</t>
  </si>
  <si>
    <t>Evans Maclord</t>
  </si>
  <si>
    <t>Nefisat Danladi</t>
  </si>
  <si>
    <t>Favour Gabriel</t>
  </si>
  <si>
    <t>UEC Secondary School, Ajaka</t>
  </si>
  <si>
    <t xml:space="preserve">Tijani Manasseh </t>
  </si>
  <si>
    <t>Idakwoji Muhammed</t>
  </si>
  <si>
    <t>Sunday Bello</t>
  </si>
  <si>
    <t>Benjamin-Omale Sophia</t>
  </si>
  <si>
    <t>Bello Buyamin Ojonugwa</t>
  </si>
  <si>
    <t>Ekabel High School</t>
  </si>
  <si>
    <t>Ogohi Christopher</t>
  </si>
  <si>
    <t>Abah Ojogbe Excel</t>
  </si>
  <si>
    <t>Simon Eleojo Deborah</t>
  </si>
  <si>
    <t>Holy Rosary College, Idah</t>
  </si>
  <si>
    <t>Daniel Uyo Peace</t>
  </si>
  <si>
    <t>Idoko Rosemary</t>
  </si>
  <si>
    <t>FGC Ugwolawo</t>
  </si>
  <si>
    <t>Ezugwu Peace N.</t>
  </si>
  <si>
    <t xml:space="preserve">Ornongo Nathaniel N. </t>
  </si>
  <si>
    <t xml:space="preserve">Odoh Hebron C. </t>
  </si>
  <si>
    <t>God's  Great Ambassadors Private School, Idah</t>
  </si>
  <si>
    <t>Enemona Model College, Ankpa</t>
  </si>
  <si>
    <t>Global College, Ankpa</t>
  </si>
  <si>
    <t>St. Charles College, Ankpa</t>
  </si>
  <si>
    <t>LGA</t>
  </si>
  <si>
    <t>Idah</t>
  </si>
  <si>
    <t>Igalamela/Odolu</t>
  </si>
  <si>
    <t>Ofu</t>
  </si>
  <si>
    <t>YES</t>
  </si>
  <si>
    <t>Ankpa</t>
  </si>
  <si>
    <t>Idah Sec. Commercial College, Idah</t>
  </si>
  <si>
    <t>Babayade International College, Idah</t>
  </si>
  <si>
    <t>Trinity international College, Idah</t>
  </si>
  <si>
    <t>Victory Secondary Academy, Idah</t>
  </si>
  <si>
    <t>Upper room International School, Idah</t>
  </si>
  <si>
    <t>Dickson Memorial College, Idah</t>
  </si>
  <si>
    <t>Special Science Secondary School, Ajaka</t>
  </si>
  <si>
    <t>First Grade Success Academy, Okenya</t>
  </si>
  <si>
    <t>Golden Academy Secondary School, Ajaka</t>
  </si>
  <si>
    <t>New Generation Secondary School</t>
  </si>
  <si>
    <t>Ode Memorial College Sec. School</t>
  </si>
  <si>
    <t>Islamiyyah Secondary School, Ajaka</t>
  </si>
  <si>
    <t>Higher Grammar Sec Sechool</t>
  </si>
  <si>
    <t>Community Secondary Sch, Ajaka</t>
  </si>
  <si>
    <t>King High Secondary School, Ajaka</t>
  </si>
  <si>
    <t>Spotlight International Secondary School, Ajaka</t>
  </si>
  <si>
    <t>Akowe Feridat</t>
  </si>
  <si>
    <t>Ojonimi Destiny</t>
  </si>
  <si>
    <t>Nuhu Atodo</t>
  </si>
  <si>
    <t>Belikisu Isah</t>
  </si>
  <si>
    <t>Aleka Academy, Ankpa</t>
  </si>
  <si>
    <t>Urama Gaius Chidiomimi</t>
  </si>
  <si>
    <t>Timothy Cosmas Ojomachewn</t>
  </si>
  <si>
    <t>Yusuf Neziru Eneojo</t>
  </si>
  <si>
    <t>James Godwin Eleojo</t>
  </si>
  <si>
    <t>Ugwu Nneka Abigail</t>
  </si>
  <si>
    <t>Emmanuel Ojochegbe Dansofo</t>
  </si>
  <si>
    <t>Isah Mariam</t>
  </si>
  <si>
    <t>Usman Ruqayya</t>
  </si>
  <si>
    <t>Zekeri Iganya Halima</t>
  </si>
  <si>
    <t>Etila Ernest</t>
  </si>
  <si>
    <t>Abah Ejiga King</t>
  </si>
  <si>
    <t>Holy Spirit High School, Imane</t>
  </si>
  <si>
    <t>Olamaboro</t>
  </si>
  <si>
    <t>Evergreen International College, Okpo</t>
  </si>
  <si>
    <t>Prospect Primary &amp; Secondary School, Ogugu</t>
  </si>
  <si>
    <t>Our Lady of Schools, Anyigba</t>
  </si>
  <si>
    <t>Azubike Kingsley</t>
  </si>
  <si>
    <t>Audu Sumaya Ojonile</t>
  </si>
  <si>
    <t>Present or Absent?</t>
  </si>
  <si>
    <t>VICTOR OJOTULE ANNABEL</t>
  </si>
  <si>
    <t>WINNER OJONUGWA IDOKO</t>
  </si>
  <si>
    <t>ADEJOH EIJO HOSANNA</t>
  </si>
  <si>
    <t>OBIKWELU JOHNBOSCO</t>
  </si>
  <si>
    <t>ATTAI DANIEL ILEMONA</t>
  </si>
  <si>
    <t>DEMONSTRATION SECONDARY SCHOOL ANKPA</t>
  </si>
  <si>
    <t>EMMANUEL VICTORY OJILE</t>
  </si>
  <si>
    <t>ABDULMUJEED J. UMAR</t>
  </si>
  <si>
    <t>EJIGA SAMEUL OJONIKO</t>
  </si>
  <si>
    <t>SHAIBU VICTORIA</t>
  </si>
  <si>
    <t>SAMUEL UGBEDEOJO AKOJI</t>
  </si>
  <si>
    <t xml:space="preserve">Usman Alhaji </t>
  </si>
  <si>
    <t>Joel Enyomi Josipher</t>
  </si>
  <si>
    <t>Daniel  Ukolo- ojoTheophilus</t>
  </si>
  <si>
    <t>Adepoju  Adedayo Abdulsalam</t>
  </si>
  <si>
    <t>Ajeka Anibe Elizabeth</t>
  </si>
  <si>
    <t>Iyaji Omiya Evelyn</t>
  </si>
  <si>
    <t>Absent</t>
  </si>
  <si>
    <t>Confirmed Participation?</t>
  </si>
  <si>
    <t>School</t>
  </si>
  <si>
    <t xml:space="preserve">NO </t>
  </si>
  <si>
    <t>Unit Score (max 45)</t>
  </si>
  <si>
    <t>Percentage (%)</t>
  </si>
  <si>
    <t>Present</t>
  </si>
  <si>
    <t>No Nominee Sent</t>
  </si>
  <si>
    <t>Rank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</si>
</sst>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* #,##0_);_(* \(#,##0\);_(* &quot;-&quot;_);@_)"/>
    <numFmt numFmtId="165" formatCode="0.00%_);[Red]\(0.00%\)"/>
  </numFmts>
  <fonts count="17" x14ac:knownFonts="1">
    <font>
      <sz val="11"/>
      <color theme="1"/>
      <name val="Arial"/>
      <family val="2"/>
    </font>
    <font>
      <b/>
      <sz val="11"/>
      <color theme="3"/>
      <name val="Calibri"/>
      <family val="2"/>
      <scheme val="minor"/>
    </font>
    <font>
      <sz val="9"/>
      <color theme="0"/>
      <name val="Calibri Light"/>
      <family val="2"/>
      <scheme val="major"/>
    </font>
    <font>
      <sz val="9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9"/>
      <name val="Calibri Light"/>
      <family val="2"/>
      <scheme val="major"/>
    </font>
    <font>
      <sz val="11"/>
      <color theme="0" tint="-0.34998626667073579"/>
      <name val="Calibri"/>
      <family val="2"/>
      <scheme val="minor"/>
    </font>
    <font>
      <b/>
      <sz val="9"/>
      <color rgb="FFC00000"/>
      <name val="Arial"/>
      <family val="2"/>
    </font>
    <font>
      <sz val="11"/>
      <color theme="1"/>
      <name val="Calibri"/>
      <family val="2"/>
      <scheme val="minor"/>
    </font>
    <font>
      <sz val="9"/>
      <color rgb="FFFF000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rgb="FFFF0000"/>
      <name val="Calibri"/>
      <family val="2"/>
      <scheme val="minor"/>
    </font>
    <font>
      <b/>
      <sz val="9"/>
      <color theme="3"/>
      <name val="Calibri"/>
      <family val="2"/>
      <scheme val="minor"/>
    </font>
    <font>
      <sz val="12"/>
      <name val="Calibri"/>
      <family val="2"/>
      <scheme val="minor"/>
    </font>
    <font>
      <b/>
      <sz val="13"/>
      <name val="Calibri"/>
      <family val="2"/>
      <scheme val="minor"/>
    </font>
    <font>
      <sz val="11"/>
      <color theme="1"/>
      <name val="Arial"/>
      <family val="2"/>
    </font>
    <font>
      <b/>
      <sz val="12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2F2F2"/>
      </patternFill>
    </fill>
    <fill>
      <patternFill patternType="solid">
        <fgColor theme="1" tint="0.14996795556505021"/>
        <bgColor rgb="FF0070C0"/>
      </patternFill>
    </fill>
    <fill>
      <patternFill patternType="solid">
        <fgColor theme="0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99FF99"/>
        <bgColor indexed="64"/>
      </patternFill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rgb="FFFF0000"/>
      </left>
      <right style="hair">
        <color rgb="FFFF0000"/>
      </right>
      <top style="hair">
        <color rgb="FFFF0000"/>
      </top>
      <bottom style="hair">
        <color rgb="FFFF0000"/>
      </bottom>
      <diagonal/>
    </border>
  </borders>
  <cellStyleXfs count="10">
    <xf numFmtId="164" fontId="0" fillId="0" borderId="0" applyFill="0" applyBorder="0" applyAlignment="0" applyProtection="0"/>
    <xf numFmtId="0" fontId="1" fillId="0" borderId="0" applyNumberFormat="0" applyFill="0" applyAlignment="0" applyProtection="0"/>
    <xf numFmtId="40" fontId="2" fillId="3" borderId="0" applyNumberFormat="0" applyBorder="0" applyAlignment="0" applyProtection="0"/>
    <xf numFmtId="164" fontId="3" fillId="0" borderId="0"/>
    <xf numFmtId="40" fontId="5" fillId="6" borderId="0" applyNumberFormat="0" applyBorder="0" applyAlignment="0" applyProtection="0"/>
    <xf numFmtId="40" fontId="6" fillId="0" borderId="0" applyNumberFormat="0" applyFill="0" applyBorder="0" applyProtection="0">
      <alignment horizontal="center" vertical="center"/>
    </xf>
    <xf numFmtId="164" fontId="7" fillId="0" borderId="0" applyNumberFormat="0" applyFill="0" applyBorder="0" applyAlignment="0" applyProtection="0"/>
    <xf numFmtId="164" fontId="5" fillId="2" borderId="2" applyAlignment="0" applyProtection="0"/>
    <xf numFmtId="165" fontId="8" fillId="0" borderId="0" applyFont="0" applyFill="0" applyBorder="0" applyAlignment="0" applyProtection="0"/>
    <xf numFmtId="9" fontId="15" fillId="0" borderId="0" applyFont="0" applyFill="0" applyBorder="0" applyAlignment="0" applyProtection="0"/>
  </cellStyleXfs>
  <cellXfs count="49">
    <xf numFmtId="164" fontId="0" fillId="0" borderId="0" xfId="0"/>
    <xf numFmtId="164" fontId="2" fillId="3" borderId="0" xfId="2" applyNumberFormat="1"/>
    <xf numFmtId="164" fontId="2" fillId="3" borderId="0" xfId="2" applyNumberFormat="1" applyAlignment="1">
      <alignment horizontal="center" vertical="center"/>
    </xf>
    <xf numFmtId="164" fontId="3" fillId="4" borderId="0" xfId="3" applyFill="1"/>
    <xf numFmtId="164" fontId="3" fillId="5" borderId="0" xfId="3" applyFill="1"/>
    <xf numFmtId="164" fontId="2" fillId="3" borderId="0" xfId="2" applyNumberFormat="1" applyAlignment="1">
      <alignment vertical="top"/>
    </xf>
    <xf numFmtId="38" fontId="4" fillId="3" borderId="0" xfId="2" applyNumberFormat="1" applyFont="1" applyAlignment="1">
      <alignment vertical="top"/>
    </xf>
    <xf numFmtId="164" fontId="3" fillId="3" borderId="0" xfId="2" applyNumberFormat="1" applyFont="1" applyAlignment="1">
      <alignment vertical="top"/>
    </xf>
    <xf numFmtId="164" fontId="3" fillId="4" borderId="0" xfId="3" applyFill="1" applyAlignment="1">
      <alignment vertical="top"/>
    </xf>
    <xf numFmtId="164" fontId="3" fillId="5" borderId="0" xfId="3" applyFill="1" applyAlignment="1">
      <alignment vertical="top"/>
    </xf>
    <xf numFmtId="164" fontId="3" fillId="0" borderId="0" xfId="3"/>
    <xf numFmtId="164" fontId="3" fillId="0" borderId="0" xfId="3" applyAlignment="1">
      <alignment wrapText="1"/>
    </xf>
    <xf numFmtId="164" fontId="5" fillId="7" borderId="0" xfId="4" applyNumberFormat="1" applyFill="1"/>
    <xf numFmtId="164" fontId="6" fillId="0" borderId="0" xfId="5" applyNumberFormat="1">
      <alignment horizontal="center" vertical="center"/>
    </xf>
    <xf numFmtId="164" fontId="3" fillId="0" borderId="0" xfId="3" applyAlignment="1">
      <alignment horizontal="right"/>
    </xf>
    <xf numFmtId="164" fontId="9" fillId="0" borderId="0" xfId="3" applyFont="1"/>
    <xf numFmtId="164" fontId="9" fillId="4" borderId="0" xfId="3" applyFont="1" applyFill="1"/>
    <xf numFmtId="164" fontId="9" fillId="5" borderId="0" xfId="3" applyFont="1" applyFill="1"/>
    <xf numFmtId="49" fontId="2" fillId="3" borderId="0" xfId="2" applyNumberFormat="1" applyAlignment="1">
      <alignment horizontal="center" vertical="center"/>
    </xf>
    <xf numFmtId="49" fontId="3" fillId="3" borderId="0" xfId="2" applyNumberFormat="1" applyFont="1" applyAlignment="1">
      <alignment vertical="top"/>
    </xf>
    <xf numFmtId="49" fontId="3" fillId="0" borderId="0" xfId="3" applyNumberFormat="1"/>
    <xf numFmtId="49" fontId="5" fillId="7" borderId="0" xfId="4" applyNumberFormat="1" applyFill="1"/>
    <xf numFmtId="49" fontId="6" fillId="0" borderId="0" xfId="5" applyNumberFormat="1">
      <alignment horizontal="center" vertical="center"/>
    </xf>
    <xf numFmtId="164" fontId="12" fillId="0" borderId="0" xfId="1" applyNumberFormat="1" applyFont="1" applyAlignment="1">
      <alignment horizontal="center" wrapText="1"/>
    </xf>
    <xf numFmtId="164" fontId="3" fillId="4" borderId="0" xfId="3" applyFill="1" applyAlignment="1">
      <alignment wrapText="1"/>
    </xf>
    <xf numFmtId="164" fontId="3" fillId="5" borderId="0" xfId="3" applyFill="1" applyAlignment="1">
      <alignment wrapText="1"/>
    </xf>
    <xf numFmtId="164" fontId="11" fillId="0" borderId="0" xfId="3" applyFont="1"/>
    <xf numFmtId="164" fontId="11" fillId="4" borderId="0" xfId="3" applyFont="1" applyFill="1"/>
    <xf numFmtId="164" fontId="11" fillId="5" borderId="0" xfId="3" applyFont="1" applyFill="1"/>
    <xf numFmtId="164" fontId="10" fillId="0" borderId="0" xfId="3" applyFont="1"/>
    <xf numFmtId="164" fontId="10" fillId="4" borderId="0" xfId="3" applyFont="1" applyFill="1"/>
    <xf numFmtId="164" fontId="10" fillId="5" borderId="0" xfId="3" applyFont="1" applyFill="1"/>
    <xf numFmtId="164" fontId="13" fillId="0" borderId="1" xfId="3" applyFont="1" applyBorder="1" applyAlignment="1">
      <alignment vertical="center" wrapText="1"/>
    </xf>
    <xf numFmtId="164" fontId="13" fillId="0" borderId="1" xfId="3" applyFont="1" applyBorder="1" applyAlignment="1">
      <alignment horizontal="left" vertical="center" wrapText="1"/>
    </xf>
    <xf numFmtId="2" fontId="13" fillId="0" borderId="1" xfId="3" applyNumberFormat="1" applyFont="1" applyBorder="1" applyAlignment="1">
      <alignment vertical="center" wrapText="1"/>
    </xf>
    <xf numFmtId="2" fontId="13" fillId="0" borderId="1" xfId="3" applyNumberFormat="1" applyFont="1" applyBorder="1" applyAlignment="1">
      <alignment horizontal="right" vertical="center" wrapText="1"/>
    </xf>
    <xf numFmtId="0" fontId="13" fillId="0" borderId="1" xfId="3" applyNumberFormat="1" applyFont="1" applyBorder="1" applyAlignment="1">
      <alignment vertical="center" wrapText="1"/>
    </xf>
    <xf numFmtId="164" fontId="13" fillId="0" borderId="1" xfId="3" applyFont="1" applyBorder="1" applyAlignment="1">
      <alignment wrapText="1"/>
    </xf>
    <xf numFmtId="164" fontId="13" fillId="0" borderId="1" xfId="3" applyFont="1" applyBorder="1" applyAlignment="1">
      <alignment horizontal="right"/>
    </xf>
    <xf numFmtId="164" fontId="14" fillId="0" borderId="1" xfId="1" applyNumberFormat="1" applyFont="1" applyBorder="1" applyAlignment="1">
      <alignment horizontal="left" wrapText="1"/>
    </xf>
    <xf numFmtId="164" fontId="14" fillId="0" borderId="1" xfId="1" applyNumberFormat="1" applyFont="1" applyBorder="1" applyAlignment="1">
      <alignment horizontal="left"/>
    </xf>
    <xf numFmtId="49" fontId="14" fillId="0" borderId="1" xfId="1" applyNumberFormat="1" applyFont="1" applyBorder="1" applyAlignment="1">
      <alignment horizontal="left" wrapText="1"/>
    </xf>
    <xf numFmtId="164" fontId="16" fillId="0" borderId="1" xfId="3" applyFont="1" applyBorder="1" applyAlignment="1">
      <alignment vertical="center" wrapText="1"/>
    </xf>
    <xf numFmtId="10" fontId="13" fillId="0" borderId="1" xfId="9" applyNumberFormat="1" applyFont="1" applyBorder="1" applyAlignment="1">
      <alignment vertical="center" wrapText="1"/>
    </xf>
    <xf numFmtId="164" fontId="14" fillId="0" borderId="1" xfId="1" applyNumberFormat="1" applyFont="1" applyBorder="1" applyAlignment="1">
      <alignment horizontal="right" wrapText="1"/>
    </xf>
    <xf numFmtId="0" fontId="13" fillId="0" borderId="1" xfId="3" applyNumberFormat="1" applyFont="1" applyBorder="1" applyAlignment="1">
      <alignment horizontal="right" vertical="center" wrapText="1"/>
    </xf>
    <xf numFmtId="10" fontId="16" fillId="0" borderId="1" xfId="9" applyNumberFormat="1" applyFont="1" applyBorder="1" applyAlignment="1">
      <alignment vertical="center" wrapText="1"/>
    </xf>
    <xf numFmtId="164" fontId="16" fillId="0" borderId="1" xfId="3" applyFont="1" applyBorder="1" applyAlignment="1">
      <alignment wrapText="1"/>
    </xf>
    <xf numFmtId="164" fontId="16" fillId="0" borderId="1" xfId="3" applyFont="1" applyBorder="1" applyAlignment="1">
      <alignment horizontal="right"/>
    </xf>
  </cellXfs>
  <cellStyles count="10">
    <cellStyle name="Banner" xfId="2" xr:uid="{00000000-0005-0000-0000-000000000000}"/>
    <cellStyle name="Banner 2" xfId="4" xr:uid="{00000000-0005-0000-0000-000001000000}"/>
    <cellStyle name="Calculation (Totals and subtotals)" xfId="7" xr:uid="{00000000-0005-0000-0000-000002000000}"/>
    <cellStyle name="Heading 3" xfId="1" builtinId="18"/>
    <cellStyle name="Headings 3" xfId="6" xr:uid="{00000000-0005-0000-0000-000004000000}"/>
    <cellStyle name="my Percent" xfId="8" xr:uid="{00000000-0005-0000-0000-000005000000}"/>
    <cellStyle name="Normal" xfId="0" builtinId="0"/>
    <cellStyle name="Normal 4" xfId="3" xr:uid="{00000000-0005-0000-0000-000007000000}"/>
    <cellStyle name="Per cent" xfId="9" builtinId="5"/>
    <cellStyle name="Units" xfId="5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user/Documents/Personal%20Work/Manifold/OGD_Operational/2025/MES%20Strategy/Financial%20Projections/Output/FINAL%20PROJECTION/Upon%20Uju%20Feedback/Output/MES%20Financial%20Projections%20-%20Fin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iming &amp; Flag"/>
      <sheetName val="Cover"/>
    </sheetNames>
    <sheetDataSet>
      <sheetData sheetId="0" refreshError="1"/>
      <sheetData sheetId="1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45004B-2E6A-2D4E-8D5E-3031A581818A}">
  <sheetPr>
    <pageSetUpPr fitToPage="1"/>
  </sheetPr>
  <dimension ref="A1:K109"/>
  <sheetViews>
    <sheetView showGridLines="0" tabSelected="1" topLeftCell="B1" zoomScale="125" zoomScaleNormal="125" workbookViewId="0">
      <pane ySplit="3" topLeftCell="A4" activePane="bottomLeft" state="frozen"/>
      <selection pane="bottomLeft" activeCell="C117" sqref="C117"/>
    </sheetView>
  </sheetViews>
  <sheetFormatPr baseColWidth="10" defaultColWidth="8.5" defaultRowHeight="15" outlineLevelCol="1" x14ac:dyDescent="0.15"/>
  <cols>
    <col min="1" max="1" width="8.6640625" style="10" hidden="1" customWidth="1"/>
    <col min="2" max="2" width="3.1640625" style="10" customWidth="1"/>
    <col min="3" max="3" width="29.83203125" style="13" customWidth="1"/>
    <col min="4" max="4" width="14.6640625" style="13" hidden="1" customWidth="1"/>
    <col min="5" max="5" width="37.6640625" style="13" customWidth="1"/>
    <col min="6" max="6" width="30" style="13" customWidth="1"/>
    <col min="7" max="7" width="20.6640625" style="13" customWidth="1"/>
    <col min="8" max="8" width="25.1640625" style="22" customWidth="1"/>
    <col min="9" max="9" width="16.1640625" style="22" customWidth="1"/>
    <col min="10" max="10" width="16" style="10" bestFit="1" customWidth="1"/>
    <col min="11" max="11" width="1.33203125" style="3" customWidth="1" outlineLevel="1"/>
    <col min="12" max="16384" width="8.5" style="4"/>
  </cols>
  <sheetData>
    <row r="1" spans="1:11" ht="4" customHeight="1" x14ac:dyDescent="0.15">
      <c r="A1" s="1"/>
      <c r="B1" s="1"/>
      <c r="C1" s="2"/>
      <c r="D1" s="2"/>
      <c r="E1" s="2"/>
      <c r="F1" s="2"/>
      <c r="G1" s="2"/>
      <c r="H1" s="18"/>
      <c r="I1" s="18"/>
      <c r="J1" s="1"/>
    </row>
    <row r="2" spans="1:11" s="9" customFormat="1" ht="29.5" customHeight="1" x14ac:dyDescent="0.15">
      <c r="A2" s="5"/>
      <c r="B2" s="6" t="s">
        <v>0</v>
      </c>
      <c r="C2" s="7"/>
      <c r="D2" s="7"/>
      <c r="E2" s="7"/>
      <c r="F2" s="7"/>
      <c r="G2" s="7"/>
      <c r="H2" s="19"/>
      <c r="I2" s="19"/>
      <c r="J2" s="7"/>
      <c r="K2" s="8"/>
    </row>
    <row r="3" spans="1:11" ht="2.5" customHeight="1" x14ac:dyDescent="0.15">
      <c r="C3" s="10"/>
      <c r="D3" s="10"/>
      <c r="E3" s="10"/>
      <c r="F3" s="10"/>
      <c r="G3" s="10"/>
      <c r="H3" s="20"/>
      <c r="I3" s="20"/>
    </row>
    <row r="4" spans="1:11" ht="3.75" customHeight="1" x14ac:dyDescent="0.15">
      <c r="A4" s="12"/>
      <c r="B4" s="12"/>
      <c r="C4" s="12"/>
      <c r="D4" s="12"/>
      <c r="E4" s="12"/>
      <c r="F4" s="12"/>
      <c r="G4" s="12"/>
      <c r="H4" s="21"/>
      <c r="I4" s="21"/>
      <c r="J4" s="12"/>
    </row>
    <row r="5" spans="1:11" ht="5.25" customHeight="1" x14ac:dyDescent="0.15">
      <c r="J5" s="14"/>
    </row>
    <row r="6" spans="1:11" s="25" customFormat="1" ht="30" customHeight="1" x14ac:dyDescent="0.2">
      <c r="A6" s="11"/>
      <c r="B6" s="23"/>
      <c r="C6" s="39" t="s">
        <v>1</v>
      </c>
      <c r="D6" s="39" t="s">
        <v>38</v>
      </c>
      <c r="E6" s="39" t="s">
        <v>103</v>
      </c>
      <c r="F6" s="39" t="s">
        <v>102</v>
      </c>
      <c r="G6" s="40" t="s">
        <v>83</v>
      </c>
      <c r="H6" s="41" t="s">
        <v>105</v>
      </c>
      <c r="I6" s="39" t="s">
        <v>106</v>
      </c>
      <c r="J6" s="44" t="s">
        <v>109</v>
      </c>
      <c r="K6" s="24"/>
    </row>
    <row r="7" spans="1:11" ht="17" x14ac:dyDescent="0.2">
      <c r="C7" s="47" t="s">
        <v>5</v>
      </c>
      <c r="D7" s="32"/>
      <c r="E7" s="32" t="s">
        <v>2</v>
      </c>
      <c r="F7" s="32" t="s">
        <v>42</v>
      </c>
      <c r="G7" s="32" t="s">
        <v>107</v>
      </c>
      <c r="H7" s="34">
        <v>17</v>
      </c>
      <c r="I7" s="46">
        <f t="shared" ref="I7:I38" si="0">H7/45</f>
        <v>0.37777777777777777</v>
      </c>
      <c r="J7" s="48">
        <f>RANK(I7,$I$7:$I$109,0)</f>
        <v>1</v>
      </c>
    </row>
    <row r="8" spans="1:11" ht="17" x14ac:dyDescent="0.2">
      <c r="C8" s="47" t="s">
        <v>4</v>
      </c>
      <c r="D8" s="32"/>
      <c r="E8" s="32" t="s">
        <v>2</v>
      </c>
      <c r="F8" s="32" t="s">
        <v>42</v>
      </c>
      <c r="G8" s="32" t="s">
        <v>107</v>
      </c>
      <c r="H8" s="34">
        <v>15.5</v>
      </c>
      <c r="I8" s="46">
        <f t="shared" si="0"/>
        <v>0.34444444444444444</v>
      </c>
      <c r="J8" s="48">
        <f t="shared" ref="J8:J71" si="1">RANK(I8,$I$7:$I$109,0)</f>
        <v>2</v>
      </c>
    </row>
    <row r="9" spans="1:11" ht="17" x14ac:dyDescent="0.2">
      <c r="C9" s="47" t="s">
        <v>3</v>
      </c>
      <c r="D9" s="32" t="s">
        <v>39</v>
      </c>
      <c r="E9" s="32" t="s">
        <v>2</v>
      </c>
      <c r="F9" s="32" t="s">
        <v>42</v>
      </c>
      <c r="G9" s="32" t="s">
        <v>107</v>
      </c>
      <c r="H9" s="34">
        <v>14</v>
      </c>
      <c r="I9" s="46">
        <f t="shared" si="0"/>
        <v>0.31111111111111112</v>
      </c>
      <c r="J9" s="48">
        <f t="shared" si="1"/>
        <v>3</v>
      </c>
    </row>
    <row r="10" spans="1:11" ht="17" x14ac:dyDescent="0.2">
      <c r="C10" s="47" t="s">
        <v>10</v>
      </c>
      <c r="D10" s="32" t="s">
        <v>39</v>
      </c>
      <c r="E10" s="32" t="s">
        <v>6</v>
      </c>
      <c r="F10" s="32" t="s">
        <v>42</v>
      </c>
      <c r="G10" s="32" t="s">
        <v>107</v>
      </c>
      <c r="H10" s="34">
        <v>13</v>
      </c>
      <c r="I10" s="46">
        <f t="shared" si="0"/>
        <v>0.28888888888888886</v>
      </c>
      <c r="J10" s="48">
        <f t="shared" si="1"/>
        <v>4</v>
      </c>
    </row>
    <row r="11" spans="1:11" ht="17" x14ac:dyDescent="0.2">
      <c r="C11" s="47" t="s">
        <v>26</v>
      </c>
      <c r="D11" s="32"/>
      <c r="E11" s="32" t="s">
        <v>23</v>
      </c>
      <c r="F11" s="32" t="s">
        <v>42</v>
      </c>
      <c r="G11" s="32" t="s">
        <v>107</v>
      </c>
      <c r="H11" s="34">
        <v>12</v>
      </c>
      <c r="I11" s="46">
        <f t="shared" si="0"/>
        <v>0.26666666666666666</v>
      </c>
      <c r="J11" s="48">
        <f t="shared" si="1"/>
        <v>5</v>
      </c>
    </row>
    <row r="12" spans="1:11" s="17" customFormat="1" ht="17" x14ac:dyDescent="0.2">
      <c r="A12" s="15"/>
      <c r="B12" s="15"/>
      <c r="C12" s="47" t="s">
        <v>65</v>
      </c>
      <c r="D12" s="32" t="s">
        <v>43</v>
      </c>
      <c r="E12" s="32" t="s">
        <v>64</v>
      </c>
      <c r="F12" s="32" t="s">
        <v>42</v>
      </c>
      <c r="G12" s="32" t="s">
        <v>107</v>
      </c>
      <c r="H12" s="34">
        <v>12</v>
      </c>
      <c r="I12" s="46">
        <f t="shared" si="0"/>
        <v>0.26666666666666666</v>
      </c>
      <c r="J12" s="48">
        <f t="shared" si="1"/>
        <v>5</v>
      </c>
      <c r="K12" s="16"/>
    </row>
    <row r="13" spans="1:11" ht="17" x14ac:dyDescent="0.2">
      <c r="C13" s="37" t="s">
        <v>96</v>
      </c>
      <c r="D13" s="32"/>
      <c r="E13" s="32" t="s">
        <v>7</v>
      </c>
      <c r="F13" s="32" t="s">
        <v>42</v>
      </c>
      <c r="G13" s="32" t="s">
        <v>107</v>
      </c>
      <c r="H13" s="34">
        <v>11.5</v>
      </c>
      <c r="I13" s="43">
        <f t="shared" si="0"/>
        <v>0.25555555555555554</v>
      </c>
      <c r="J13" s="38">
        <f t="shared" si="1"/>
        <v>7</v>
      </c>
    </row>
    <row r="14" spans="1:11" s="17" customFormat="1" ht="17" x14ac:dyDescent="0.2">
      <c r="A14" s="15"/>
      <c r="B14" s="15"/>
      <c r="C14" s="37" t="s">
        <v>8</v>
      </c>
      <c r="D14" s="32" t="s">
        <v>39</v>
      </c>
      <c r="E14" s="32" t="s">
        <v>7</v>
      </c>
      <c r="F14" s="32" t="s">
        <v>42</v>
      </c>
      <c r="G14" s="32" t="s">
        <v>107</v>
      </c>
      <c r="H14" s="34">
        <v>11</v>
      </c>
      <c r="I14" s="43">
        <f t="shared" si="0"/>
        <v>0.24444444444444444</v>
      </c>
      <c r="J14" s="38">
        <f t="shared" si="1"/>
        <v>8</v>
      </c>
      <c r="K14" s="16"/>
    </row>
    <row r="15" spans="1:11" ht="17" x14ac:dyDescent="0.2">
      <c r="C15" s="37" t="s">
        <v>9</v>
      </c>
      <c r="D15" s="32"/>
      <c r="E15" s="32" t="s">
        <v>7</v>
      </c>
      <c r="F15" s="32" t="s">
        <v>42</v>
      </c>
      <c r="G15" s="32" t="s">
        <v>107</v>
      </c>
      <c r="H15" s="34">
        <v>11</v>
      </c>
      <c r="I15" s="43">
        <f t="shared" si="0"/>
        <v>0.24444444444444444</v>
      </c>
      <c r="J15" s="38">
        <f t="shared" si="1"/>
        <v>8</v>
      </c>
    </row>
    <row r="16" spans="1:11" ht="17" x14ac:dyDescent="0.2">
      <c r="C16" s="37" t="s">
        <v>24</v>
      </c>
      <c r="D16" s="32" t="s">
        <v>39</v>
      </c>
      <c r="E16" s="32" t="s">
        <v>23</v>
      </c>
      <c r="F16" s="32" t="s">
        <v>42</v>
      </c>
      <c r="G16" s="32" t="s">
        <v>107</v>
      </c>
      <c r="H16" s="34">
        <v>11</v>
      </c>
      <c r="I16" s="43">
        <f t="shared" si="0"/>
        <v>0.24444444444444444</v>
      </c>
      <c r="J16" s="38">
        <f t="shared" si="1"/>
        <v>8</v>
      </c>
    </row>
    <row r="17" spans="1:11" ht="17" x14ac:dyDescent="0.2">
      <c r="C17" s="37" t="s">
        <v>25</v>
      </c>
      <c r="D17" s="32"/>
      <c r="E17" s="32" t="s">
        <v>23</v>
      </c>
      <c r="F17" s="32" t="s">
        <v>42</v>
      </c>
      <c r="G17" s="32" t="s">
        <v>107</v>
      </c>
      <c r="H17" s="34">
        <v>11</v>
      </c>
      <c r="I17" s="43">
        <f t="shared" si="0"/>
        <v>0.24444444444444444</v>
      </c>
      <c r="J17" s="38">
        <f t="shared" si="1"/>
        <v>8</v>
      </c>
    </row>
    <row r="18" spans="1:11" ht="17" x14ac:dyDescent="0.2">
      <c r="C18" s="37" t="s">
        <v>33</v>
      </c>
      <c r="D18" s="32"/>
      <c r="E18" s="32" t="s">
        <v>30</v>
      </c>
      <c r="F18" s="32" t="s">
        <v>42</v>
      </c>
      <c r="G18" s="32" t="s">
        <v>107</v>
      </c>
      <c r="H18" s="34">
        <v>9</v>
      </c>
      <c r="I18" s="43">
        <f t="shared" si="0"/>
        <v>0.2</v>
      </c>
      <c r="J18" s="38">
        <f t="shared" si="1"/>
        <v>12</v>
      </c>
    </row>
    <row r="19" spans="1:11" ht="17" x14ac:dyDescent="0.2">
      <c r="C19" s="37" t="s">
        <v>66</v>
      </c>
      <c r="D19" s="32"/>
      <c r="E19" s="32" t="s">
        <v>64</v>
      </c>
      <c r="F19" s="32" t="s">
        <v>42</v>
      </c>
      <c r="G19" s="32" t="s">
        <v>107</v>
      </c>
      <c r="H19" s="34">
        <v>9</v>
      </c>
      <c r="I19" s="43">
        <f t="shared" si="0"/>
        <v>0.2</v>
      </c>
      <c r="J19" s="38">
        <f t="shared" si="1"/>
        <v>12</v>
      </c>
    </row>
    <row r="20" spans="1:11" ht="17" x14ac:dyDescent="0.2">
      <c r="C20" s="37" t="s">
        <v>67</v>
      </c>
      <c r="D20" s="32"/>
      <c r="E20" s="32" t="s">
        <v>64</v>
      </c>
      <c r="F20" s="32" t="s">
        <v>42</v>
      </c>
      <c r="G20" s="32" t="s">
        <v>107</v>
      </c>
      <c r="H20" s="34">
        <v>9</v>
      </c>
      <c r="I20" s="43">
        <f t="shared" si="0"/>
        <v>0.2</v>
      </c>
      <c r="J20" s="38">
        <f t="shared" si="1"/>
        <v>12</v>
      </c>
    </row>
    <row r="21" spans="1:11" ht="17" x14ac:dyDescent="0.2">
      <c r="C21" s="37" t="s">
        <v>12</v>
      </c>
      <c r="D21" s="32"/>
      <c r="E21" s="32" t="s">
        <v>6</v>
      </c>
      <c r="F21" s="32" t="s">
        <v>42</v>
      </c>
      <c r="G21" s="32" t="s">
        <v>107</v>
      </c>
      <c r="H21" s="34">
        <v>8.5</v>
      </c>
      <c r="I21" s="43">
        <f t="shared" si="0"/>
        <v>0.18888888888888888</v>
      </c>
      <c r="J21" s="38">
        <f t="shared" si="1"/>
        <v>15</v>
      </c>
    </row>
    <row r="22" spans="1:11" ht="17" x14ac:dyDescent="0.2">
      <c r="C22" s="37" t="s">
        <v>11</v>
      </c>
      <c r="D22" s="32"/>
      <c r="E22" s="32" t="s">
        <v>6</v>
      </c>
      <c r="F22" s="32" t="s">
        <v>42</v>
      </c>
      <c r="G22" s="32" t="s">
        <v>107</v>
      </c>
      <c r="H22" s="45">
        <v>8</v>
      </c>
      <c r="I22" s="43">
        <f t="shared" si="0"/>
        <v>0.17777777777777778</v>
      </c>
      <c r="J22" s="38">
        <f t="shared" si="1"/>
        <v>16</v>
      </c>
    </row>
    <row r="23" spans="1:11" s="17" customFormat="1" ht="34" x14ac:dyDescent="0.2">
      <c r="A23" s="15"/>
      <c r="B23" s="15"/>
      <c r="C23" s="37" t="s">
        <v>97</v>
      </c>
      <c r="D23" s="32" t="s">
        <v>39</v>
      </c>
      <c r="E23" s="32" t="s">
        <v>34</v>
      </c>
      <c r="F23" s="32" t="s">
        <v>42</v>
      </c>
      <c r="G23" s="32" t="s">
        <v>107</v>
      </c>
      <c r="H23" s="34">
        <v>7.5</v>
      </c>
      <c r="I23" s="43">
        <f t="shared" si="0"/>
        <v>0.16666666666666666</v>
      </c>
      <c r="J23" s="38">
        <f t="shared" si="1"/>
        <v>17</v>
      </c>
      <c r="K23" s="16"/>
    </row>
    <row r="24" spans="1:11" ht="17" x14ac:dyDescent="0.2">
      <c r="C24" s="37" t="s">
        <v>84</v>
      </c>
      <c r="D24" s="32" t="s">
        <v>43</v>
      </c>
      <c r="E24" s="32" t="s">
        <v>80</v>
      </c>
      <c r="F24" s="32" t="s">
        <v>104</v>
      </c>
      <c r="G24" s="32" t="s">
        <v>107</v>
      </c>
      <c r="H24" s="35">
        <v>7.5</v>
      </c>
      <c r="I24" s="43">
        <f t="shared" si="0"/>
        <v>0.16666666666666666</v>
      </c>
      <c r="J24" s="38">
        <f t="shared" si="1"/>
        <v>17</v>
      </c>
    </row>
    <row r="25" spans="1:11" s="17" customFormat="1" ht="17" x14ac:dyDescent="0.2">
      <c r="A25" s="15"/>
      <c r="B25" s="15"/>
      <c r="C25" s="37" t="s">
        <v>72</v>
      </c>
      <c r="D25" s="32"/>
      <c r="E25" s="32" t="s">
        <v>55</v>
      </c>
      <c r="F25" s="32" t="s">
        <v>42</v>
      </c>
      <c r="G25" s="32" t="s">
        <v>107</v>
      </c>
      <c r="H25" s="34">
        <v>7</v>
      </c>
      <c r="I25" s="43">
        <f t="shared" si="0"/>
        <v>0.15555555555555556</v>
      </c>
      <c r="J25" s="38">
        <f t="shared" si="1"/>
        <v>19</v>
      </c>
      <c r="K25" s="16"/>
    </row>
    <row r="26" spans="1:11" ht="17" x14ac:dyDescent="0.2">
      <c r="C26" s="37" t="s">
        <v>88</v>
      </c>
      <c r="D26" s="32"/>
      <c r="E26" s="32" t="s">
        <v>80</v>
      </c>
      <c r="F26" s="32" t="s">
        <v>104</v>
      </c>
      <c r="G26" s="32" t="s">
        <v>107</v>
      </c>
      <c r="H26" s="35">
        <v>7</v>
      </c>
      <c r="I26" s="43">
        <f t="shared" si="0"/>
        <v>0.15555555555555556</v>
      </c>
      <c r="J26" s="38">
        <f t="shared" si="1"/>
        <v>19</v>
      </c>
    </row>
    <row r="27" spans="1:11" ht="34" x14ac:dyDescent="0.2">
      <c r="C27" s="37" t="s">
        <v>94</v>
      </c>
      <c r="D27" s="32"/>
      <c r="E27" s="32" t="s">
        <v>89</v>
      </c>
      <c r="F27" s="32" t="s">
        <v>42</v>
      </c>
      <c r="G27" s="32" t="s">
        <v>107</v>
      </c>
      <c r="H27" s="34">
        <v>7</v>
      </c>
      <c r="I27" s="43">
        <f t="shared" si="0"/>
        <v>0.15555555555555556</v>
      </c>
      <c r="J27" s="38">
        <f t="shared" si="1"/>
        <v>19</v>
      </c>
    </row>
    <row r="28" spans="1:11" ht="34" x14ac:dyDescent="0.2">
      <c r="C28" s="37" t="s">
        <v>18</v>
      </c>
      <c r="D28" s="32" t="s">
        <v>40</v>
      </c>
      <c r="E28" s="32" t="s">
        <v>17</v>
      </c>
      <c r="F28" s="32" t="s">
        <v>42</v>
      </c>
      <c r="G28" s="32" t="s">
        <v>107</v>
      </c>
      <c r="H28" s="34">
        <v>6.5</v>
      </c>
      <c r="I28" s="43">
        <f t="shared" si="0"/>
        <v>0.14444444444444443</v>
      </c>
      <c r="J28" s="38">
        <f t="shared" si="1"/>
        <v>22</v>
      </c>
    </row>
    <row r="29" spans="1:11" ht="17" x14ac:dyDescent="0.2">
      <c r="C29" s="37" t="s">
        <v>98</v>
      </c>
      <c r="D29" s="32" t="s">
        <v>39</v>
      </c>
      <c r="E29" s="32" t="s">
        <v>48</v>
      </c>
      <c r="F29" s="33" t="s">
        <v>42</v>
      </c>
      <c r="G29" s="32" t="s">
        <v>107</v>
      </c>
      <c r="H29" s="35">
        <v>6.5</v>
      </c>
      <c r="I29" s="43">
        <f t="shared" si="0"/>
        <v>0.14444444444444443</v>
      </c>
      <c r="J29" s="38">
        <f t="shared" si="1"/>
        <v>22</v>
      </c>
    </row>
    <row r="30" spans="1:11" ht="17" x14ac:dyDescent="0.2">
      <c r="C30" s="37" t="s">
        <v>87</v>
      </c>
      <c r="D30" s="32"/>
      <c r="E30" s="32" t="s">
        <v>80</v>
      </c>
      <c r="F30" s="32" t="s">
        <v>104</v>
      </c>
      <c r="G30" s="32" t="s">
        <v>107</v>
      </c>
      <c r="H30" s="35">
        <v>6</v>
      </c>
      <c r="I30" s="43">
        <f t="shared" si="0"/>
        <v>0.13333333333333333</v>
      </c>
      <c r="J30" s="38">
        <f t="shared" si="1"/>
        <v>24</v>
      </c>
    </row>
    <row r="31" spans="1:11" ht="34" x14ac:dyDescent="0.2">
      <c r="C31" s="37" t="s">
        <v>90</v>
      </c>
      <c r="D31" s="32"/>
      <c r="E31" s="32" t="s">
        <v>89</v>
      </c>
      <c r="F31" s="32" t="s">
        <v>42</v>
      </c>
      <c r="G31" s="32" t="s">
        <v>107</v>
      </c>
      <c r="H31" s="34">
        <v>6</v>
      </c>
      <c r="I31" s="43">
        <f t="shared" si="0"/>
        <v>0.13333333333333333</v>
      </c>
      <c r="J31" s="38">
        <f t="shared" si="1"/>
        <v>24</v>
      </c>
    </row>
    <row r="32" spans="1:11" ht="34" x14ac:dyDescent="0.2">
      <c r="C32" s="37" t="s">
        <v>92</v>
      </c>
      <c r="D32" s="32"/>
      <c r="E32" s="32" t="s">
        <v>89</v>
      </c>
      <c r="F32" s="32" t="s">
        <v>42</v>
      </c>
      <c r="G32" s="32" t="s">
        <v>107</v>
      </c>
      <c r="H32" s="34">
        <v>6</v>
      </c>
      <c r="I32" s="43">
        <f t="shared" si="0"/>
        <v>0.13333333333333333</v>
      </c>
      <c r="J32" s="38">
        <f t="shared" si="1"/>
        <v>24</v>
      </c>
    </row>
    <row r="33" spans="1:11" ht="17" x14ac:dyDescent="0.2">
      <c r="C33" s="37" t="s">
        <v>63</v>
      </c>
      <c r="D33" s="32"/>
      <c r="E33" s="32" t="s">
        <v>48</v>
      </c>
      <c r="F33" s="33" t="s">
        <v>42</v>
      </c>
      <c r="G33" s="32" t="s">
        <v>107</v>
      </c>
      <c r="H33" s="35">
        <v>5.75</v>
      </c>
      <c r="I33" s="43">
        <f t="shared" si="0"/>
        <v>0.12777777777777777</v>
      </c>
      <c r="J33" s="38">
        <f t="shared" si="1"/>
        <v>27</v>
      </c>
    </row>
    <row r="34" spans="1:11" ht="17" x14ac:dyDescent="0.2">
      <c r="C34" s="37" t="s">
        <v>32</v>
      </c>
      <c r="D34" s="32"/>
      <c r="E34" s="32" t="s">
        <v>30</v>
      </c>
      <c r="F34" s="32" t="s">
        <v>42</v>
      </c>
      <c r="G34" s="32" t="s">
        <v>107</v>
      </c>
      <c r="H34" s="34">
        <v>4</v>
      </c>
      <c r="I34" s="43">
        <f t="shared" si="0"/>
        <v>8.8888888888888892E-2</v>
      </c>
      <c r="J34" s="38">
        <f t="shared" si="1"/>
        <v>28</v>
      </c>
    </row>
    <row r="35" spans="1:11" ht="17" x14ac:dyDescent="0.2">
      <c r="C35" s="37" t="s">
        <v>20</v>
      </c>
      <c r="D35" s="32"/>
      <c r="E35" s="32" t="s">
        <v>17</v>
      </c>
      <c r="F35" s="32" t="s">
        <v>42</v>
      </c>
      <c r="G35" s="32" t="s">
        <v>107</v>
      </c>
      <c r="H35" s="36">
        <v>4</v>
      </c>
      <c r="I35" s="43">
        <f t="shared" si="0"/>
        <v>8.8888888888888892E-2</v>
      </c>
      <c r="J35" s="38">
        <f t="shared" si="1"/>
        <v>28</v>
      </c>
    </row>
    <row r="36" spans="1:11" ht="34" x14ac:dyDescent="0.2">
      <c r="C36" s="37" t="s">
        <v>22</v>
      </c>
      <c r="D36" s="32"/>
      <c r="E36" s="32" t="s">
        <v>34</v>
      </c>
      <c r="F36" s="32" t="s">
        <v>42</v>
      </c>
      <c r="G36" s="32" t="s">
        <v>107</v>
      </c>
      <c r="H36" s="34">
        <v>4</v>
      </c>
      <c r="I36" s="43">
        <f t="shared" si="0"/>
        <v>8.8888888888888892E-2</v>
      </c>
      <c r="J36" s="38">
        <f t="shared" si="1"/>
        <v>28</v>
      </c>
    </row>
    <row r="37" spans="1:11" ht="17" x14ac:dyDescent="0.2">
      <c r="C37" s="37" t="s">
        <v>28</v>
      </c>
      <c r="D37" s="32" t="s">
        <v>39</v>
      </c>
      <c r="E37" s="32" t="s">
        <v>27</v>
      </c>
      <c r="F37" s="32" t="s">
        <v>42</v>
      </c>
      <c r="G37" s="32" t="s">
        <v>107</v>
      </c>
      <c r="H37" s="34">
        <v>4</v>
      </c>
      <c r="I37" s="43">
        <f t="shared" si="0"/>
        <v>8.8888888888888892E-2</v>
      </c>
      <c r="J37" s="38">
        <f t="shared" si="1"/>
        <v>28</v>
      </c>
    </row>
    <row r="38" spans="1:11" ht="17" x14ac:dyDescent="0.2">
      <c r="C38" s="37" t="s">
        <v>75</v>
      </c>
      <c r="D38" s="32"/>
      <c r="E38" s="32" t="s">
        <v>50</v>
      </c>
      <c r="F38" s="33" t="s">
        <v>42</v>
      </c>
      <c r="G38" s="32" t="s">
        <v>107</v>
      </c>
      <c r="H38" s="35">
        <v>4</v>
      </c>
      <c r="I38" s="43">
        <f t="shared" si="0"/>
        <v>8.8888888888888892E-2</v>
      </c>
      <c r="J38" s="38">
        <f t="shared" si="1"/>
        <v>28</v>
      </c>
    </row>
    <row r="39" spans="1:11" ht="17" x14ac:dyDescent="0.2">
      <c r="C39" s="37" t="s">
        <v>73</v>
      </c>
      <c r="D39" s="32"/>
      <c r="E39" s="32" t="s">
        <v>55</v>
      </c>
      <c r="F39" s="32" t="s">
        <v>42</v>
      </c>
      <c r="G39" s="32" t="s">
        <v>107</v>
      </c>
      <c r="H39" s="34">
        <v>4</v>
      </c>
      <c r="I39" s="43">
        <f t="shared" ref="I39:I70" si="2">H39/45</f>
        <v>8.8888888888888892E-2</v>
      </c>
      <c r="J39" s="38">
        <f t="shared" si="1"/>
        <v>28</v>
      </c>
    </row>
    <row r="40" spans="1:11" ht="17" x14ac:dyDescent="0.2">
      <c r="C40" s="37" t="s">
        <v>31</v>
      </c>
      <c r="D40" s="32" t="s">
        <v>41</v>
      </c>
      <c r="E40" s="32" t="s">
        <v>30</v>
      </c>
      <c r="F40" s="32" t="s">
        <v>42</v>
      </c>
      <c r="G40" s="32" t="s">
        <v>107</v>
      </c>
      <c r="H40" s="36">
        <v>3</v>
      </c>
      <c r="I40" s="43">
        <f t="shared" si="2"/>
        <v>6.6666666666666666E-2</v>
      </c>
      <c r="J40" s="38">
        <f t="shared" si="1"/>
        <v>34</v>
      </c>
    </row>
    <row r="41" spans="1:11" s="17" customFormat="1" ht="17" x14ac:dyDescent="0.2">
      <c r="A41" s="15">
        <v>1.5</v>
      </c>
      <c r="B41" s="15"/>
      <c r="C41" s="37" t="s">
        <v>100</v>
      </c>
      <c r="D41" s="32"/>
      <c r="E41" s="32" t="s">
        <v>50</v>
      </c>
      <c r="F41" s="33" t="s">
        <v>42</v>
      </c>
      <c r="G41" s="32" t="s">
        <v>107</v>
      </c>
      <c r="H41" s="35">
        <v>3</v>
      </c>
      <c r="I41" s="43">
        <f t="shared" si="2"/>
        <v>6.6666666666666666E-2</v>
      </c>
      <c r="J41" s="38">
        <f t="shared" si="1"/>
        <v>34</v>
      </c>
      <c r="K41" s="16"/>
    </row>
    <row r="42" spans="1:11" ht="34" x14ac:dyDescent="0.2">
      <c r="C42" s="37" t="s">
        <v>71</v>
      </c>
      <c r="D42" s="32" t="s">
        <v>40</v>
      </c>
      <c r="E42" s="32" t="s">
        <v>55</v>
      </c>
      <c r="F42" s="32" t="s">
        <v>42</v>
      </c>
      <c r="G42" s="32" t="s">
        <v>107</v>
      </c>
      <c r="H42" s="34">
        <v>2.5</v>
      </c>
      <c r="I42" s="43">
        <f t="shared" si="2"/>
        <v>5.5555555555555552E-2</v>
      </c>
      <c r="J42" s="38">
        <f t="shared" si="1"/>
        <v>36</v>
      </c>
    </row>
    <row r="43" spans="1:11" s="17" customFormat="1" ht="17" x14ac:dyDescent="0.2">
      <c r="A43" s="15"/>
      <c r="B43" s="15"/>
      <c r="C43" s="37" t="s">
        <v>19</v>
      </c>
      <c r="D43" s="32"/>
      <c r="E43" s="32" t="s">
        <v>17</v>
      </c>
      <c r="F43" s="32" t="s">
        <v>42</v>
      </c>
      <c r="G43" s="32" t="s">
        <v>107</v>
      </c>
      <c r="H43" s="34">
        <v>2.25</v>
      </c>
      <c r="I43" s="43">
        <f t="shared" si="2"/>
        <v>0.05</v>
      </c>
      <c r="J43" s="38">
        <f t="shared" si="1"/>
        <v>37</v>
      </c>
      <c r="K43" s="16"/>
    </row>
    <row r="44" spans="1:11" ht="17" x14ac:dyDescent="0.2">
      <c r="C44" s="37" t="s">
        <v>29</v>
      </c>
      <c r="D44" s="32"/>
      <c r="E44" s="32" t="s">
        <v>27</v>
      </c>
      <c r="F44" s="32" t="s">
        <v>42</v>
      </c>
      <c r="G44" s="32" t="s">
        <v>107</v>
      </c>
      <c r="H44" s="34">
        <v>2</v>
      </c>
      <c r="I44" s="43">
        <f t="shared" si="2"/>
        <v>4.4444444444444446E-2</v>
      </c>
      <c r="J44" s="38">
        <f t="shared" si="1"/>
        <v>38</v>
      </c>
    </row>
    <row r="45" spans="1:11" s="17" customFormat="1" ht="17" x14ac:dyDescent="0.2">
      <c r="A45" s="15"/>
      <c r="B45" s="15"/>
      <c r="C45" s="37" t="s">
        <v>82</v>
      </c>
      <c r="D45" s="32"/>
      <c r="E45" s="32" t="s">
        <v>44</v>
      </c>
      <c r="F45" s="33" t="s">
        <v>42</v>
      </c>
      <c r="G45" s="32" t="s">
        <v>107</v>
      </c>
      <c r="H45" s="35">
        <v>2</v>
      </c>
      <c r="I45" s="43">
        <f t="shared" si="2"/>
        <v>4.4444444444444446E-2</v>
      </c>
      <c r="J45" s="38">
        <f t="shared" si="1"/>
        <v>38</v>
      </c>
      <c r="K45" s="16"/>
    </row>
    <row r="46" spans="1:11" ht="17" x14ac:dyDescent="0.2">
      <c r="C46" s="37" t="s">
        <v>86</v>
      </c>
      <c r="D46" s="32"/>
      <c r="E46" s="32" t="s">
        <v>51</v>
      </c>
      <c r="F46" s="32" t="s">
        <v>42</v>
      </c>
      <c r="G46" s="32" t="s">
        <v>107</v>
      </c>
      <c r="H46" s="34">
        <v>2</v>
      </c>
      <c r="I46" s="43">
        <f t="shared" si="2"/>
        <v>4.4444444444444446E-2</v>
      </c>
      <c r="J46" s="38">
        <f t="shared" si="1"/>
        <v>38</v>
      </c>
    </row>
    <row r="47" spans="1:11" ht="17" x14ac:dyDescent="0.2">
      <c r="C47" s="37" t="s">
        <v>81</v>
      </c>
      <c r="D47" s="32"/>
      <c r="E47" s="32" t="s">
        <v>44</v>
      </c>
      <c r="F47" s="33" t="s">
        <v>42</v>
      </c>
      <c r="G47" s="32" t="s">
        <v>107</v>
      </c>
      <c r="H47" s="35">
        <v>1.25</v>
      </c>
      <c r="I47" s="43">
        <f t="shared" si="2"/>
        <v>2.7777777777777776E-2</v>
      </c>
      <c r="J47" s="38">
        <f t="shared" si="1"/>
        <v>41</v>
      </c>
    </row>
    <row r="48" spans="1:11" ht="34" x14ac:dyDescent="0.2">
      <c r="C48" s="37" t="s">
        <v>21</v>
      </c>
      <c r="D48" s="32"/>
      <c r="E48" s="32" t="s">
        <v>34</v>
      </c>
      <c r="F48" s="32" t="s">
        <v>42</v>
      </c>
      <c r="G48" s="32" t="s">
        <v>107</v>
      </c>
      <c r="H48" s="34">
        <v>1</v>
      </c>
      <c r="I48" s="43">
        <f t="shared" si="2"/>
        <v>2.2222222222222223E-2</v>
      </c>
      <c r="J48" s="38">
        <f t="shared" si="1"/>
        <v>42</v>
      </c>
    </row>
    <row r="49" spans="1:11" ht="17" x14ac:dyDescent="0.2">
      <c r="C49" s="37" t="s">
        <v>99</v>
      </c>
      <c r="D49" s="32"/>
      <c r="E49" s="32" t="s">
        <v>27</v>
      </c>
      <c r="F49" s="32" t="s">
        <v>42</v>
      </c>
      <c r="G49" s="32" t="s">
        <v>107</v>
      </c>
      <c r="H49" s="34">
        <v>1</v>
      </c>
      <c r="I49" s="43">
        <f t="shared" si="2"/>
        <v>2.2222222222222223E-2</v>
      </c>
      <c r="J49" s="38">
        <f t="shared" si="1"/>
        <v>42</v>
      </c>
    </row>
    <row r="50" spans="1:11" ht="17" x14ac:dyDescent="0.2">
      <c r="C50" s="37" t="s">
        <v>95</v>
      </c>
      <c r="D50" s="32" t="s">
        <v>39</v>
      </c>
      <c r="E50" s="32" t="s">
        <v>44</v>
      </c>
      <c r="F50" s="33" t="s">
        <v>42</v>
      </c>
      <c r="G50" s="32" t="s">
        <v>107</v>
      </c>
      <c r="H50" s="35">
        <v>1</v>
      </c>
      <c r="I50" s="43">
        <f t="shared" si="2"/>
        <v>2.2222222222222223E-2</v>
      </c>
      <c r="J50" s="38">
        <f t="shared" si="1"/>
        <v>42</v>
      </c>
    </row>
    <row r="51" spans="1:11" ht="34" x14ac:dyDescent="0.2">
      <c r="C51" s="37" t="s">
        <v>74</v>
      </c>
      <c r="D51" s="32" t="s">
        <v>40</v>
      </c>
      <c r="E51" s="32" t="s">
        <v>50</v>
      </c>
      <c r="F51" s="33" t="s">
        <v>42</v>
      </c>
      <c r="G51" s="32" t="s">
        <v>107</v>
      </c>
      <c r="H51" s="35">
        <v>1</v>
      </c>
      <c r="I51" s="43">
        <f t="shared" si="2"/>
        <v>2.2222222222222223E-2</v>
      </c>
      <c r="J51" s="38">
        <f t="shared" si="1"/>
        <v>42</v>
      </c>
    </row>
    <row r="52" spans="1:11" s="17" customFormat="1" ht="34" x14ac:dyDescent="0.2">
      <c r="A52" s="15"/>
      <c r="B52" s="15"/>
      <c r="C52" s="37" t="s">
        <v>60</v>
      </c>
      <c r="D52" s="32" t="s">
        <v>40</v>
      </c>
      <c r="E52" s="32" t="s">
        <v>52</v>
      </c>
      <c r="F52" s="33" t="s">
        <v>42</v>
      </c>
      <c r="G52" s="32" t="s">
        <v>107</v>
      </c>
      <c r="H52" s="35">
        <v>1</v>
      </c>
      <c r="I52" s="43">
        <f t="shared" si="2"/>
        <v>2.2222222222222223E-2</v>
      </c>
      <c r="J52" s="38">
        <f t="shared" si="1"/>
        <v>42</v>
      </c>
      <c r="K52" s="16"/>
    </row>
    <row r="53" spans="1:11" ht="17" x14ac:dyDescent="0.2">
      <c r="C53" s="37" t="s">
        <v>93</v>
      </c>
      <c r="D53" s="32"/>
      <c r="E53" s="32" t="s">
        <v>52</v>
      </c>
      <c r="F53" s="33" t="s">
        <v>42</v>
      </c>
      <c r="G53" s="32" t="s">
        <v>107</v>
      </c>
      <c r="H53" s="35">
        <v>1</v>
      </c>
      <c r="I53" s="43">
        <f t="shared" si="2"/>
        <v>2.2222222222222223E-2</v>
      </c>
      <c r="J53" s="38">
        <f t="shared" si="1"/>
        <v>42</v>
      </c>
    </row>
    <row r="54" spans="1:11" ht="17" x14ac:dyDescent="0.2">
      <c r="C54" s="37" t="s">
        <v>61</v>
      </c>
      <c r="D54" s="32"/>
      <c r="E54" s="32" t="s">
        <v>52</v>
      </c>
      <c r="F54" s="33" t="s">
        <v>42</v>
      </c>
      <c r="G54" s="32" t="s">
        <v>107</v>
      </c>
      <c r="H54" s="35">
        <v>1</v>
      </c>
      <c r="I54" s="43">
        <f t="shared" si="2"/>
        <v>2.2222222222222223E-2</v>
      </c>
      <c r="J54" s="38">
        <f t="shared" si="1"/>
        <v>42</v>
      </c>
    </row>
    <row r="55" spans="1:11" ht="34" x14ac:dyDescent="0.2">
      <c r="C55" s="37" t="s">
        <v>85</v>
      </c>
      <c r="D55" s="32" t="s">
        <v>40</v>
      </c>
      <c r="E55" s="32" t="s">
        <v>51</v>
      </c>
      <c r="F55" s="32" t="s">
        <v>42</v>
      </c>
      <c r="G55" s="32" t="s">
        <v>107</v>
      </c>
      <c r="H55" s="34">
        <v>1</v>
      </c>
      <c r="I55" s="43">
        <f t="shared" si="2"/>
        <v>2.2222222222222223E-2</v>
      </c>
      <c r="J55" s="38">
        <f t="shared" si="1"/>
        <v>42</v>
      </c>
    </row>
    <row r="56" spans="1:11" ht="17" x14ac:dyDescent="0.2">
      <c r="C56" s="37" t="s">
        <v>91</v>
      </c>
      <c r="D56" s="32"/>
      <c r="E56" s="32" t="s">
        <v>51</v>
      </c>
      <c r="F56" s="32" t="s">
        <v>42</v>
      </c>
      <c r="G56" s="32" t="s">
        <v>107</v>
      </c>
      <c r="H56" s="34">
        <v>1</v>
      </c>
      <c r="I56" s="43">
        <f t="shared" si="2"/>
        <v>2.2222222222222223E-2</v>
      </c>
      <c r="J56" s="38">
        <f t="shared" si="1"/>
        <v>42</v>
      </c>
    </row>
    <row r="57" spans="1:11" ht="17" x14ac:dyDescent="0.2">
      <c r="C57" s="37" t="s">
        <v>14</v>
      </c>
      <c r="D57" s="32" t="s">
        <v>39</v>
      </c>
      <c r="E57" s="32" t="s">
        <v>13</v>
      </c>
      <c r="F57" s="32" t="s">
        <v>42</v>
      </c>
      <c r="G57" s="42" t="s">
        <v>101</v>
      </c>
      <c r="H57" s="34">
        <v>0</v>
      </c>
      <c r="I57" s="43">
        <f t="shared" si="2"/>
        <v>0</v>
      </c>
      <c r="J57" s="38">
        <f t="shared" si="1"/>
        <v>51</v>
      </c>
    </row>
    <row r="58" spans="1:11" s="28" customFormat="1" ht="19" x14ac:dyDescent="0.25">
      <c r="A58" s="26"/>
      <c r="B58" s="26"/>
      <c r="C58" s="37" t="s">
        <v>15</v>
      </c>
      <c r="D58" s="32"/>
      <c r="E58" s="32" t="s">
        <v>13</v>
      </c>
      <c r="F58" s="32" t="s">
        <v>42</v>
      </c>
      <c r="G58" s="42" t="s">
        <v>101</v>
      </c>
      <c r="H58" s="34">
        <v>0</v>
      </c>
      <c r="I58" s="43">
        <f t="shared" si="2"/>
        <v>0</v>
      </c>
      <c r="J58" s="38">
        <f t="shared" si="1"/>
        <v>51</v>
      </c>
      <c r="K58" s="27"/>
    </row>
    <row r="59" spans="1:11" s="31" customFormat="1" ht="19" x14ac:dyDescent="0.25">
      <c r="A59" s="29"/>
      <c r="B59" s="29"/>
      <c r="C59" s="37" t="s">
        <v>16</v>
      </c>
      <c r="D59" s="32"/>
      <c r="E59" s="32" t="s">
        <v>13</v>
      </c>
      <c r="F59" s="32" t="s">
        <v>42</v>
      </c>
      <c r="G59" s="42" t="s">
        <v>101</v>
      </c>
      <c r="H59" s="34">
        <v>0</v>
      </c>
      <c r="I59" s="43">
        <f t="shared" si="2"/>
        <v>0</v>
      </c>
      <c r="J59" s="38">
        <f t="shared" si="1"/>
        <v>51</v>
      </c>
      <c r="K59" s="30"/>
    </row>
    <row r="60" spans="1:11" s="31" customFormat="1" ht="19" x14ac:dyDescent="0.25">
      <c r="A60" s="29"/>
      <c r="B60" s="29"/>
      <c r="C60" s="37" t="s">
        <v>68</v>
      </c>
      <c r="D60" s="32" t="s">
        <v>43</v>
      </c>
      <c r="E60" s="32" t="s">
        <v>37</v>
      </c>
      <c r="F60" s="32" t="s">
        <v>42</v>
      </c>
      <c r="G60" s="42" t="s">
        <v>101</v>
      </c>
      <c r="H60" s="34">
        <v>0</v>
      </c>
      <c r="I60" s="43">
        <f t="shared" si="2"/>
        <v>0</v>
      </c>
      <c r="J60" s="38">
        <f t="shared" si="1"/>
        <v>51</v>
      </c>
      <c r="K60" s="30"/>
    </row>
    <row r="61" spans="1:11" ht="17" x14ac:dyDescent="0.2">
      <c r="C61" s="37" t="s">
        <v>69</v>
      </c>
      <c r="D61" s="32"/>
      <c r="E61" s="32" t="s">
        <v>37</v>
      </c>
      <c r="F61" s="32" t="s">
        <v>42</v>
      </c>
      <c r="G61" s="42" t="s">
        <v>101</v>
      </c>
      <c r="H61" s="34">
        <v>0</v>
      </c>
      <c r="I61" s="43">
        <f t="shared" si="2"/>
        <v>0</v>
      </c>
      <c r="J61" s="38">
        <f t="shared" si="1"/>
        <v>51</v>
      </c>
    </row>
    <row r="62" spans="1:11" ht="17" x14ac:dyDescent="0.2">
      <c r="C62" s="37" t="s">
        <v>70</v>
      </c>
      <c r="D62" s="32"/>
      <c r="E62" s="32" t="s">
        <v>37</v>
      </c>
      <c r="F62" s="32" t="s">
        <v>42</v>
      </c>
      <c r="G62" s="42" t="s">
        <v>101</v>
      </c>
      <c r="H62" s="34">
        <v>0</v>
      </c>
      <c r="I62" s="43">
        <f t="shared" si="2"/>
        <v>0</v>
      </c>
      <c r="J62" s="38">
        <f t="shared" si="1"/>
        <v>51</v>
      </c>
    </row>
    <row r="63" spans="1:11" ht="17" x14ac:dyDescent="0.2">
      <c r="C63" s="37" t="s">
        <v>62</v>
      </c>
      <c r="D63" s="32"/>
      <c r="E63" s="32" t="s">
        <v>48</v>
      </c>
      <c r="F63" s="33" t="s">
        <v>42</v>
      </c>
      <c r="G63" s="32" t="s">
        <v>107</v>
      </c>
      <c r="H63" s="35">
        <v>0</v>
      </c>
      <c r="I63" s="43">
        <f t="shared" si="2"/>
        <v>0</v>
      </c>
      <c r="J63" s="38">
        <f t="shared" si="1"/>
        <v>51</v>
      </c>
    </row>
    <row r="64" spans="1:11" ht="34" x14ac:dyDescent="0.2">
      <c r="C64" s="37" t="s">
        <v>108</v>
      </c>
      <c r="D64" s="32" t="s">
        <v>40</v>
      </c>
      <c r="E64" s="32" t="s">
        <v>56</v>
      </c>
      <c r="F64" s="32" t="s">
        <v>42</v>
      </c>
      <c r="G64" s="32" t="s">
        <v>101</v>
      </c>
      <c r="H64" s="34">
        <v>0</v>
      </c>
      <c r="I64" s="43">
        <f t="shared" si="2"/>
        <v>0</v>
      </c>
      <c r="J64" s="38">
        <f t="shared" si="1"/>
        <v>51</v>
      </c>
    </row>
    <row r="65" spans="3:10" ht="17" x14ac:dyDescent="0.2">
      <c r="C65" s="37" t="s">
        <v>108</v>
      </c>
      <c r="D65" s="32"/>
      <c r="E65" s="32" t="s">
        <v>56</v>
      </c>
      <c r="F65" s="32" t="s">
        <v>42</v>
      </c>
      <c r="G65" s="32" t="s">
        <v>101</v>
      </c>
      <c r="H65" s="34">
        <v>0</v>
      </c>
      <c r="I65" s="43">
        <f t="shared" si="2"/>
        <v>0</v>
      </c>
      <c r="J65" s="38">
        <f t="shared" si="1"/>
        <v>51</v>
      </c>
    </row>
    <row r="66" spans="3:10" ht="17" x14ac:dyDescent="0.2">
      <c r="C66" s="37" t="s">
        <v>108</v>
      </c>
      <c r="D66" s="32"/>
      <c r="E66" s="32" t="s">
        <v>56</v>
      </c>
      <c r="F66" s="32" t="s">
        <v>42</v>
      </c>
      <c r="G66" s="32" t="s">
        <v>101</v>
      </c>
      <c r="H66" s="34">
        <v>0</v>
      </c>
      <c r="I66" s="43">
        <f t="shared" si="2"/>
        <v>0</v>
      </c>
      <c r="J66" s="38">
        <f t="shared" si="1"/>
        <v>51</v>
      </c>
    </row>
    <row r="67" spans="3:10" ht="34" x14ac:dyDescent="0.2">
      <c r="C67" s="37" t="s">
        <v>108</v>
      </c>
      <c r="D67" s="32" t="s">
        <v>40</v>
      </c>
      <c r="E67" s="32" t="s">
        <v>57</v>
      </c>
      <c r="F67" s="32" t="s">
        <v>42</v>
      </c>
      <c r="G67" s="32" t="s">
        <v>101</v>
      </c>
      <c r="H67" s="34">
        <v>0</v>
      </c>
      <c r="I67" s="43">
        <f t="shared" si="2"/>
        <v>0</v>
      </c>
      <c r="J67" s="38">
        <f t="shared" si="1"/>
        <v>51</v>
      </c>
    </row>
    <row r="68" spans="3:10" ht="17" x14ac:dyDescent="0.2">
      <c r="C68" s="37" t="s">
        <v>108</v>
      </c>
      <c r="D68" s="32"/>
      <c r="E68" s="32" t="s">
        <v>57</v>
      </c>
      <c r="F68" s="32" t="s">
        <v>42</v>
      </c>
      <c r="G68" s="32" t="s">
        <v>101</v>
      </c>
      <c r="H68" s="34">
        <v>0</v>
      </c>
      <c r="I68" s="43">
        <f t="shared" si="2"/>
        <v>0</v>
      </c>
      <c r="J68" s="38">
        <f t="shared" si="1"/>
        <v>51</v>
      </c>
    </row>
    <row r="69" spans="3:10" ht="17" x14ac:dyDescent="0.2">
      <c r="C69" s="37" t="s">
        <v>108</v>
      </c>
      <c r="D69" s="32"/>
      <c r="E69" s="32" t="s">
        <v>57</v>
      </c>
      <c r="F69" s="32" t="s">
        <v>42</v>
      </c>
      <c r="G69" s="32" t="s">
        <v>101</v>
      </c>
      <c r="H69" s="34">
        <v>0</v>
      </c>
      <c r="I69" s="43">
        <f t="shared" si="2"/>
        <v>0</v>
      </c>
      <c r="J69" s="38">
        <f t="shared" si="1"/>
        <v>51</v>
      </c>
    </row>
    <row r="70" spans="3:10" ht="34" x14ac:dyDescent="0.2">
      <c r="C70" s="37" t="s">
        <v>108</v>
      </c>
      <c r="D70" s="32" t="s">
        <v>40</v>
      </c>
      <c r="E70" s="32" t="s">
        <v>58</v>
      </c>
      <c r="F70" s="32" t="s">
        <v>42</v>
      </c>
      <c r="G70" s="32" t="s">
        <v>101</v>
      </c>
      <c r="H70" s="34">
        <v>0</v>
      </c>
      <c r="I70" s="43">
        <f t="shared" si="2"/>
        <v>0</v>
      </c>
      <c r="J70" s="38">
        <f t="shared" si="1"/>
        <v>51</v>
      </c>
    </row>
    <row r="71" spans="3:10" ht="17" x14ac:dyDescent="0.2">
      <c r="C71" s="37" t="s">
        <v>108</v>
      </c>
      <c r="D71" s="32"/>
      <c r="E71" s="32" t="s">
        <v>58</v>
      </c>
      <c r="F71" s="32" t="s">
        <v>42</v>
      </c>
      <c r="G71" s="32" t="s">
        <v>101</v>
      </c>
      <c r="H71" s="34">
        <v>0</v>
      </c>
      <c r="I71" s="43">
        <f t="shared" ref="I71:I102" si="3">H71/45</f>
        <v>0</v>
      </c>
      <c r="J71" s="38">
        <f t="shared" si="1"/>
        <v>51</v>
      </c>
    </row>
    <row r="72" spans="3:10" ht="17" x14ac:dyDescent="0.2">
      <c r="C72" s="37" t="s">
        <v>108</v>
      </c>
      <c r="D72" s="32"/>
      <c r="E72" s="32" t="s">
        <v>58</v>
      </c>
      <c r="F72" s="32" t="s">
        <v>42</v>
      </c>
      <c r="G72" s="32" t="s">
        <v>101</v>
      </c>
      <c r="H72" s="34">
        <v>0</v>
      </c>
      <c r="I72" s="43">
        <f t="shared" si="3"/>
        <v>0</v>
      </c>
      <c r="J72" s="38">
        <f t="shared" ref="J72:J109" si="4">RANK(I72,$I$7:$I$109,0)</f>
        <v>51</v>
      </c>
    </row>
    <row r="73" spans="3:10" ht="34" x14ac:dyDescent="0.2">
      <c r="C73" s="37" t="s">
        <v>108</v>
      </c>
      <c r="D73" s="32" t="s">
        <v>40</v>
      </c>
      <c r="E73" s="32" t="s">
        <v>59</v>
      </c>
      <c r="F73" s="32" t="s">
        <v>42</v>
      </c>
      <c r="G73" s="32" t="s">
        <v>101</v>
      </c>
      <c r="H73" s="34">
        <v>0</v>
      </c>
      <c r="I73" s="43">
        <f t="shared" si="3"/>
        <v>0</v>
      </c>
      <c r="J73" s="38">
        <f t="shared" si="4"/>
        <v>51</v>
      </c>
    </row>
    <row r="74" spans="3:10" ht="34" x14ac:dyDescent="0.2">
      <c r="C74" s="37" t="s">
        <v>108</v>
      </c>
      <c r="D74" s="32"/>
      <c r="E74" s="32" t="s">
        <v>59</v>
      </c>
      <c r="F74" s="32" t="s">
        <v>42</v>
      </c>
      <c r="G74" s="32" t="s">
        <v>101</v>
      </c>
      <c r="H74" s="34">
        <v>0</v>
      </c>
      <c r="I74" s="43">
        <f t="shared" si="3"/>
        <v>0</v>
      </c>
      <c r="J74" s="38">
        <f t="shared" si="4"/>
        <v>51</v>
      </c>
    </row>
    <row r="75" spans="3:10" ht="34" x14ac:dyDescent="0.2">
      <c r="C75" s="37" t="s">
        <v>108</v>
      </c>
      <c r="D75" s="32"/>
      <c r="E75" s="32" t="s">
        <v>59</v>
      </c>
      <c r="F75" s="32" t="s">
        <v>42</v>
      </c>
      <c r="G75" s="32" t="s">
        <v>101</v>
      </c>
      <c r="H75" s="34">
        <v>0</v>
      </c>
      <c r="I75" s="43">
        <f t="shared" si="3"/>
        <v>0</v>
      </c>
      <c r="J75" s="38">
        <f t="shared" si="4"/>
        <v>51</v>
      </c>
    </row>
    <row r="76" spans="3:10" ht="17" x14ac:dyDescent="0.2">
      <c r="C76" s="37" t="s">
        <v>108</v>
      </c>
      <c r="D76" s="32" t="s">
        <v>77</v>
      </c>
      <c r="E76" s="32" t="s">
        <v>76</v>
      </c>
      <c r="F76" s="32" t="s">
        <v>104</v>
      </c>
      <c r="G76" s="32" t="s">
        <v>101</v>
      </c>
      <c r="H76" s="34">
        <v>0</v>
      </c>
      <c r="I76" s="43">
        <f t="shared" si="3"/>
        <v>0</v>
      </c>
      <c r="J76" s="38">
        <f t="shared" si="4"/>
        <v>51</v>
      </c>
    </row>
    <row r="77" spans="3:10" ht="17" x14ac:dyDescent="0.2">
      <c r="C77" s="37" t="s">
        <v>108</v>
      </c>
      <c r="D77" s="32"/>
      <c r="E77" s="32" t="s">
        <v>76</v>
      </c>
      <c r="F77" s="32" t="s">
        <v>104</v>
      </c>
      <c r="G77" s="32" t="s">
        <v>101</v>
      </c>
      <c r="H77" s="34">
        <v>0</v>
      </c>
      <c r="I77" s="43">
        <f t="shared" si="3"/>
        <v>0</v>
      </c>
      <c r="J77" s="38">
        <f t="shared" si="4"/>
        <v>51</v>
      </c>
    </row>
    <row r="78" spans="3:10" ht="17" x14ac:dyDescent="0.2">
      <c r="C78" s="37" t="s">
        <v>108</v>
      </c>
      <c r="D78" s="32"/>
      <c r="E78" s="32" t="s">
        <v>76</v>
      </c>
      <c r="F78" s="32" t="s">
        <v>104</v>
      </c>
      <c r="G78" s="32" t="s">
        <v>101</v>
      </c>
      <c r="H78" s="34">
        <v>0</v>
      </c>
      <c r="I78" s="43">
        <f t="shared" si="3"/>
        <v>0</v>
      </c>
      <c r="J78" s="38">
        <f t="shared" si="4"/>
        <v>51</v>
      </c>
    </row>
    <row r="79" spans="3:10" ht="17" x14ac:dyDescent="0.2">
      <c r="C79" s="37" t="s">
        <v>108</v>
      </c>
      <c r="D79" s="32" t="s">
        <v>77</v>
      </c>
      <c r="E79" s="32" t="s">
        <v>78</v>
      </c>
      <c r="F79" s="32" t="s">
        <v>104</v>
      </c>
      <c r="G79" s="32" t="s">
        <v>101</v>
      </c>
      <c r="H79" s="34">
        <v>0</v>
      </c>
      <c r="I79" s="43">
        <f t="shared" si="3"/>
        <v>0</v>
      </c>
      <c r="J79" s="38">
        <f t="shared" si="4"/>
        <v>51</v>
      </c>
    </row>
    <row r="80" spans="3:10" ht="17" x14ac:dyDescent="0.2">
      <c r="C80" s="37" t="s">
        <v>108</v>
      </c>
      <c r="D80" s="32"/>
      <c r="E80" s="32" t="s">
        <v>78</v>
      </c>
      <c r="F80" s="32" t="s">
        <v>104</v>
      </c>
      <c r="G80" s="32" t="s">
        <v>101</v>
      </c>
      <c r="H80" s="34">
        <v>0</v>
      </c>
      <c r="I80" s="43">
        <f t="shared" si="3"/>
        <v>0</v>
      </c>
      <c r="J80" s="38">
        <f t="shared" si="4"/>
        <v>51</v>
      </c>
    </row>
    <row r="81" spans="3:10" ht="17" x14ac:dyDescent="0.2">
      <c r="C81" s="37" t="s">
        <v>108</v>
      </c>
      <c r="D81" s="32"/>
      <c r="E81" s="32" t="s">
        <v>78</v>
      </c>
      <c r="F81" s="32" t="s">
        <v>104</v>
      </c>
      <c r="G81" s="32" t="s">
        <v>101</v>
      </c>
      <c r="H81" s="34">
        <v>0</v>
      </c>
      <c r="I81" s="43">
        <f t="shared" si="3"/>
        <v>0</v>
      </c>
      <c r="J81" s="38">
        <f t="shared" si="4"/>
        <v>51</v>
      </c>
    </row>
    <row r="82" spans="3:10" ht="34" x14ac:dyDescent="0.2">
      <c r="C82" s="37" t="s">
        <v>108</v>
      </c>
      <c r="D82" s="32" t="s">
        <v>77</v>
      </c>
      <c r="E82" s="32" t="s">
        <v>79</v>
      </c>
      <c r="F82" s="32" t="s">
        <v>104</v>
      </c>
      <c r="G82" s="32" t="s">
        <v>101</v>
      </c>
      <c r="H82" s="34">
        <v>0</v>
      </c>
      <c r="I82" s="43">
        <f t="shared" si="3"/>
        <v>0</v>
      </c>
      <c r="J82" s="38">
        <f t="shared" si="4"/>
        <v>51</v>
      </c>
    </row>
    <row r="83" spans="3:10" ht="34" x14ac:dyDescent="0.2">
      <c r="C83" s="37" t="s">
        <v>108</v>
      </c>
      <c r="D83" s="32"/>
      <c r="E83" s="32" t="s">
        <v>79</v>
      </c>
      <c r="F83" s="32" t="s">
        <v>104</v>
      </c>
      <c r="G83" s="32" t="s">
        <v>101</v>
      </c>
      <c r="H83" s="34">
        <v>0</v>
      </c>
      <c r="I83" s="43">
        <f t="shared" si="3"/>
        <v>0</v>
      </c>
      <c r="J83" s="38">
        <f t="shared" si="4"/>
        <v>51</v>
      </c>
    </row>
    <row r="84" spans="3:10" ht="34" x14ac:dyDescent="0.2">
      <c r="C84" s="37" t="s">
        <v>108</v>
      </c>
      <c r="D84" s="32"/>
      <c r="E84" s="32" t="s">
        <v>79</v>
      </c>
      <c r="F84" s="32" t="s">
        <v>104</v>
      </c>
      <c r="G84" s="32" t="s">
        <v>101</v>
      </c>
      <c r="H84" s="34">
        <v>0</v>
      </c>
      <c r="I84" s="43">
        <f t="shared" si="3"/>
        <v>0</v>
      </c>
      <c r="J84" s="38">
        <f t="shared" si="4"/>
        <v>51</v>
      </c>
    </row>
    <row r="85" spans="3:10" ht="17" x14ac:dyDescent="0.2">
      <c r="C85" s="37" t="s">
        <v>108</v>
      </c>
      <c r="D85" s="32" t="s">
        <v>43</v>
      </c>
      <c r="E85" s="32" t="s">
        <v>35</v>
      </c>
      <c r="F85" s="32" t="s">
        <v>104</v>
      </c>
      <c r="G85" s="33" t="s">
        <v>101</v>
      </c>
      <c r="H85" s="34">
        <v>0</v>
      </c>
      <c r="I85" s="43">
        <f t="shared" si="3"/>
        <v>0</v>
      </c>
      <c r="J85" s="38">
        <f t="shared" si="4"/>
        <v>51</v>
      </c>
    </row>
    <row r="86" spans="3:10" ht="17" x14ac:dyDescent="0.2">
      <c r="C86" s="37" t="s">
        <v>108</v>
      </c>
      <c r="D86" s="32"/>
      <c r="E86" s="32" t="s">
        <v>35</v>
      </c>
      <c r="F86" s="32" t="s">
        <v>104</v>
      </c>
      <c r="G86" s="33" t="s">
        <v>101</v>
      </c>
      <c r="H86" s="34">
        <v>0</v>
      </c>
      <c r="I86" s="43">
        <f t="shared" si="3"/>
        <v>0</v>
      </c>
      <c r="J86" s="38">
        <f t="shared" si="4"/>
        <v>51</v>
      </c>
    </row>
    <row r="87" spans="3:10" ht="17" x14ac:dyDescent="0.2">
      <c r="C87" s="37" t="s">
        <v>108</v>
      </c>
      <c r="D87" s="32"/>
      <c r="E87" s="32" t="s">
        <v>35</v>
      </c>
      <c r="F87" s="32" t="s">
        <v>104</v>
      </c>
      <c r="G87" s="33" t="s">
        <v>101</v>
      </c>
      <c r="H87" s="34">
        <v>0</v>
      </c>
      <c r="I87" s="43">
        <f t="shared" si="3"/>
        <v>0</v>
      </c>
      <c r="J87" s="38">
        <f t="shared" si="4"/>
        <v>51</v>
      </c>
    </row>
    <row r="88" spans="3:10" ht="17" x14ac:dyDescent="0.2">
      <c r="C88" s="37" t="s">
        <v>108</v>
      </c>
      <c r="D88" s="32" t="s">
        <v>43</v>
      </c>
      <c r="E88" s="32" t="s">
        <v>36</v>
      </c>
      <c r="F88" s="32" t="s">
        <v>104</v>
      </c>
      <c r="G88" s="33"/>
      <c r="H88" s="34">
        <v>0</v>
      </c>
      <c r="I88" s="43">
        <f t="shared" si="3"/>
        <v>0</v>
      </c>
      <c r="J88" s="38">
        <f t="shared" si="4"/>
        <v>51</v>
      </c>
    </row>
    <row r="89" spans="3:10" ht="17" x14ac:dyDescent="0.2">
      <c r="C89" s="37" t="s">
        <v>108</v>
      </c>
      <c r="D89" s="32"/>
      <c r="E89" s="32" t="s">
        <v>36</v>
      </c>
      <c r="F89" s="32" t="s">
        <v>104</v>
      </c>
      <c r="G89" s="33" t="s">
        <v>101</v>
      </c>
      <c r="H89" s="34">
        <v>0</v>
      </c>
      <c r="I89" s="43">
        <f t="shared" si="3"/>
        <v>0</v>
      </c>
      <c r="J89" s="38">
        <f t="shared" si="4"/>
        <v>51</v>
      </c>
    </row>
    <row r="90" spans="3:10" ht="17" x14ac:dyDescent="0.2">
      <c r="C90" s="37" t="s">
        <v>108</v>
      </c>
      <c r="D90" s="32"/>
      <c r="E90" s="32" t="s">
        <v>36</v>
      </c>
      <c r="F90" s="32" t="s">
        <v>104</v>
      </c>
      <c r="G90" s="33" t="s">
        <v>101</v>
      </c>
      <c r="H90" s="34">
        <v>0</v>
      </c>
      <c r="I90" s="43">
        <f t="shared" si="3"/>
        <v>0</v>
      </c>
      <c r="J90" s="38">
        <f t="shared" si="4"/>
        <v>51</v>
      </c>
    </row>
    <row r="91" spans="3:10" ht="17" x14ac:dyDescent="0.2">
      <c r="C91" s="37" t="s">
        <v>108</v>
      </c>
      <c r="D91" s="32" t="s">
        <v>39</v>
      </c>
      <c r="E91" s="32" t="s">
        <v>45</v>
      </c>
      <c r="F91" s="32" t="s">
        <v>104</v>
      </c>
      <c r="G91" s="33" t="s">
        <v>101</v>
      </c>
      <c r="H91" s="34">
        <v>0</v>
      </c>
      <c r="I91" s="43">
        <f t="shared" si="3"/>
        <v>0</v>
      </c>
      <c r="J91" s="38">
        <f t="shared" si="4"/>
        <v>51</v>
      </c>
    </row>
    <row r="92" spans="3:10" ht="17" x14ac:dyDescent="0.2">
      <c r="C92" s="37" t="s">
        <v>108</v>
      </c>
      <c r="D92" s="32"/>
      <c r="E92" s="32" t="s">
        <v>45</v>
      </c>
      <c r="F92" s="32" t="s">
        <v>104</v>
      </c>
      <c r="G92" s="33" t="s">
        <v>101</v>
      </c>
      <c r="H92" s="34">
        <v>0</v>
      </c>
      <c r="I92" s="43">
        <f t="shared" si="3"/>
        <v>0</v>
      </c>
      <c r="J92" s="38">
        <f t="shared" si="4"/>
        <v>51</v>
      </c>
    </row>
    <row r="93" spans="3:10" ht="17" x14ac:dyDescent="0.2">
      <c r="C93" s="37" t="s">
        <v>108</v>
      </c>
      <c r="D93" s="32"/>
      <c r="E93" s="32" t="s">
        <v>45</v>
      </c>
      <c r="F93" s="32" t="s">
        <v>104</v>
      </c>
      <c r="G93" s="33" t="s">
        <v>101</v>
      </c>
      <c r="H93" s="34">
        <v>0</v>
      </c>
      <c r="I93" s="43">
        <f t="shared" si="3"/>
        <v>0</v>
      </c>
      <c r="J93" s="38">
        <f t="shared" si="4"/>
        <v>51</v>
      </c>
    </row>
    <row r="94" spans="3:10" ht="17" x14ac:dyDescent="0.2">
      <c r="C94" s="37" t="s">
        <v>108</v>
      </c>
      <c r="D94" s="32" t="s">
        <v>39</v>
      </c>
      <c r="E94" s="32" t="s">
        <v>46</v>
      </c>
      <c r="F94" s="32" t="s">
        <v>104</v>
      </c>
      <c r="G94" s="33" t="s">
        <v>101</v>
      </c>
      <c r="H94" s="34">
        <v>0</v>
      </c>
      <c r="I94" s="43">
        <f t="shared" si="3"/>
        <v>0</v>
      </c>
      <c r="J94" s="38">
        <f t="shared" si="4"/>
        <v>51</v>
      </c>
    </row>
    <row r="95" spans="3:10" ht="17" x14ac:dyDescent="0.2">
      <c r="C95" s="37" t="s">
        <v>108</v>
      </c>
      <c r="D95" s="32"/>
      <c r="E95" s="32" t="s">
        <v>46</v>
      </c>
      <c r="F95" s="32" t="s">
        <v>104</v>
      </c>
      <c r="G95" s="33" t="s">
        <v>101</v>
      </c>
      <c r="H95" s="34">
        <v>0</v>
      </c>
      <c r="I95" s="43">
        <f t="shared" si="3"/>
        <v>0</v>
      </c>
      <c r="J95" s="38">
        <f t="shared" si="4"/>
        <v>51</v>
      </c>
    </row>
    <row r="96" spans="3:10" ht="17" x14ac:dyDescent="0.2">
      <c r="C96" s="37" t="s">
        <v>108</v>
      </c>
      <c r="D96" s="32"/>
      <c r="E96" s="32" t="s">
        <v>46</v>
      </c>
      <c r="F96" s="32" t="s">
        <v>104</v>
      </c>
      <c r="G96" s="33" t="s">
        <v>101</v>
      </c>
      <c r="H96" s="34">
        <v>0</v>
      </c>
      <c r="I96" s="43">
        <f t="shared" si="3"/>
        <v>0</v>
      </c>
      <c r="J96" s="38">
        <f t="shared" si="4"/>
        <v>51</v>
      </c>
    </row>
    <row r="97" spans="3:10" ht="17" x14ac:dyDescent="0.2">
      <c r="C97" s="37" t="s">
        <v>108</v>
      </c>
      <c r="D97" s="32" t="s">
        <v>39</v>
      </c>
      <c r="E97" s="32" t="s">
        <v>47</v>
      </c>
      <c r="F97" s="32" t="s">
        <v>104</v>
      </c>
      <c r="G97" s="33" t="s">
        <v>101</v>
      </c>
      <c r="H97" s="34">
        <v>0</v>
      </c>
      <c r="I97" s="43">
        <f t="shared" si="3"/>
        <v>0</v>
      </c>
      <c r="J97" s="38">
        <f t="shared" si="4"/>
        <v>51</v>
      </c>
    </row>
    <row r="98" spans="3:10" ht="17" x14ac:dyDescent="0.2">
      <c r="C98" s="37" t="s">
        <v>108</v>
      </c>
      <c r="D98" s="32"/>
      <c r="E98" s="32" t="s">
        <v>47</v>
      </c>
      <c r="F98" s="32" t="s">
        <v>104</v>
      </c>
      <c r="G98" s="33" t="s">
        <v>101</v>
      </c>
      <c r="H98" s="34">
        <v>0</v>
      </c>
      <c r="I98" s="43">
        <f t="shared" si="3"/>
        <v>0</v>
      </c>
      <c r="J98" s="38">
        <f t="shared" si="4"/>
        <v>51</v>
      </c>
    </row>
    <row r="99" spans="3:10" ht="17" x14ac:dyDescent="0.2">
      <c r="C99" s="37" t="s">
        <v>108</v>
      </c>
      <c r="D99" s="32"/>
      <c r="E99" s="32" t="s">
        <v>47</v>
      </c>
      <c r="F99" s="32" t="s">
        <v>104</v>
      </c>
      <c r="G99" s="33" t="s">
        <v>101</v>
      </c>
      <c r="H99" s="34">
        <v>0</v>
      </c>
      <c r="I99" s="43">
        <f t="shared" si="3"/>
        <v>0</v>
      </c>
      <c r="J99" s="38">
        <f t="shared" si="4"/>
        <v>51</v>
      </c>
    </row>
    <row r="100" spans="3:10" ht="17" x14ac:dyDescent="0.2">
      <c r="C100" s="37" t="s">
        <v>108</v>
      </c>
      <c r="D100" s="32" t="s">
        <v>39</v>
      </c>
      <c r="E100" s="32" t="s">
        <v>49</v>
      </c>
      <c r="F100" s="32" t="s">
        <v>104</v>
      </c>
      <c r="G100" s="33" t="s">
        <v>101</v>
      </c>
      <c r="H100" s="34">
        <v>0</v>
      </c>
      <c r="I100" s="43">
        <f t="shared" si="3"/>
        <v>0</v>
      </c>
      <c r="J100" s="38">
        <f t="shared" si="4"/>
        <v>51</v>
      </c>
    </row>
    <row r="101" spans="3:10" ht="17" x14ac:dyDescent="0.2">
      <c r="C101" s="37" t="s">
        <v>108</v>
      </c>
      <c r="D101" s="32"/>
      <c r="E101" s="32" t="s">
        <v>49</v>
      </c>
      <c r="F101" s="32" t="s">
        <v>104</v>
      </c>
      <c r="G101" s="33" t="s">
        <v>101</v>
      </c>
      <c r="H101" s="34">
        <v>0</v>
      </c>
      <c r="I101" s="43">
        <f t="shared" si="3"/>
        <v>0</v>
      </c>
      <c r="J101" s="38">
        <f t="shared" si="4"/>
        <v>51</v>
      </c>
    </row>
    <row r="102" spans="3:10" ht="17" x14ac:dyDescent="0.2">
      <c r="C102" s="37" t="s">
        <v>108</v>
      </c>
      <c r="D102" s="32"/>
      <c r="E102" s="32" t="s">
        <v>49</v>
      </c>
      <c r="F102" s="32" t="s">
        <v>104</v>
      </c>
      <c r="G102" s="33" t="s">
        <v>101</v>
      </c>
      <c r="H102" s="34">
        <v>0</v>
      </c>
      <c r="I102" s="43">
        <f t="shared" si="3"/>
        <v>0</v>
      </c>
      <c r="J102" s="38">
        <f t="shared" si="4"/>
        <v>51</v>
      </c>
    </row>
    <row r="103" spans="3:10" ht="34" x14ac:dyDescent="0.2">
      <c r="C103" s="37" t="s">
        <v>108</v>
      </c>
      <c r="D103" s="32" t="s">
        <v>40</v>
      </c>
      <c r="E103" s="32" t="s">
        <v>53</v>
      </c>
      <c r="F103" s="32" t="s">
        <v>42</v>
      </c>
      <c r="G103" s="32" t="s">
        <v>101</v>
      </c>
      <c r="H103" s="34">
        <v>0</v>
      </c>
      <c r="I103" s="43">
        <f t="shared" ref="I103:I134" si="5">H103/45</f>
        <v>0</v>
      </c>
      <c r="J103" s="38">
        <f t="shared" si="4"/>
        <v>51</v>
      </c>
    </row>
    <row r="104" spans="3:10" ht="17" x14ac:dyDescent="0.2">
      <c r="C104" s="37" t="s">
        <v>108</v>
      </c>
      <c r="D104" s="32"/>
      <c r="E104" s="32" t="s">
        <v>53</v>
      </c>
      <c r="F104" s="32" t="s">
        <v>42</v>
      </c>
      <c r="G104" s="32" t="s">
        <v>101</v>
      </c>
      <c r="H104" s="34">
        <v>0</v>
      </c>
      <c r="I104" s="43">
        <f t="shared" si="5"/>
        <v>0</v>
      </c>
      <c r="J104" s="38">
        <f t="shared" si="4"/>
        <v>51</v>
      </c>
    </row>
    <row r="105" spans="3:10" ht="17" x14ac:dyDescent="0.2">
      <c r="C105" s="37" t="s">
        <v>108</v>
      </c>
      <c r="D105" s="32"/>
      <c r="E105" s="32" t="s">
        <v>53</v>
      </c>
      <c r="F105" s="32" t="s">
        <v>42</v>
      </c>
      <c r="G105" s="32" t="s">
        <v>101</v>
      </c>
      <c r="H105" s="34">
        <v>0</v>
      </c>
      <c r="I105" s="43">
        <f t="shared" si="5"/>
        <v>0</v>
      </c>
      <c r="J105" s="38">
        <f t="shared" si="4"/>
        <v>51</v>
      </c>
    </row>
    <row r="106" spans="3:10" ht="34" x14ac:dyDescent="0.2">
      <c r="C106" s="37" t="s">
        <v>108</v>
      </c>
      <c r="D106" s="32" t="s">
        <v>40</v>
      </c>
      <c r="E106" s="32" t="s">
        <v>54</v>
      </c>
      <c r="F106" s="32" t="s">
        <v>42</v>
      </c>
      <c r="G106" s="32" t="s">
        <v>101</v>
      </c>
      <c r="H106" s="34">
        <v>0</v>
      </c>
      <c r="I106" s="43">
        <f t="shared" si="5"/>
        <v>0</v>
      </c>
      <c r="J106" s="38">
        <f t="shared" si="4"/>
        <v>51</v>
      </c>
    </row>
    <row r="107" spans="3:10" ht="17" x14ac:dyDescent="0.2">
      <c r="C107" s="37" t="s">
        <v>108</v>
      </c>
      <c r="D107" s="32"/>
      <c r="E107" s="32" t="s">
        <v>54</v>
      </c>
      <c r="F107" s="32" t="s">
        <v>42</v>
      </c>
      <c r="G107" s="32" t="s">
        <v>101</v>
      </c>
      <c r="H107" s="34">
        <v>0</v>
      </c>
      <c r="I107" s="43">
        <f t="shared" si="5"/>
        <v>0</v>
      </c>
      <c r="J107" s="38">
        <f t="shared" si="4"/>
        <v>51</v>
      </c>
    </row>
    <row r="108" spans="3:10" ht="17" x14ac:dyDescent="0.2">
      <c r="C108" s="37" t="s">
        <v>108</v>
      </c>
      <c r="D108" s="32"/>
      <c r="E108" s="32" t="s">
        <v>54</v>
      </c>
      <c r="F108" s="32" t="s">
        <v>42</v>
      </c>
      <c r="G108" s="32" t="s">
        <v>101</v>
      </c>
      <c r="H108" s="34">
        <v>0</v>
      </c>
      <c r="I108" s="43">
        <f t="shared" si="5"/>
        <v>0</v>
      </c>
      <c r="J108" s="38">
        <f t="shared" si="4"/>
        <v>51</v>
      </c>
    </row>
    <row r="109" spans="3:10" ht="17" x14ac:dyDescent="0.2">
      <c r="C109" s="37" t="s">
        <v>108</v>
      </c>
      <c r="D109" s="32"/>
      <c r="E109" s="32" t="s">
        <v>54</v>
      </c>
      <c r="F109" s="32" t="s">
        <v>42</v>
      </c>
      <c r="G109" s="32" t="s">
        <v>101</v>
      </c>
      <c r="H109" s="34">
        <v>0</v>
      </c>
      <c r="I109" s="43">
        <f t="shared" si="5"/>
        <v>0</v>
      </c>
      <c r="J109" s="38">
        <f t="shared" si="4"/>
        <v>51</v>
      </c>
    </row>
  </sheetData>
  <sortState xmlns:xlrd2="http://schemas.microsoft.com/office/spreadsheetml/2017/richdata2" ref="C7:J109">
    <sortCondition descending="1" ref="I7:I109"/>
  </sortState>
  <pageMargins left="0.6" right="0.6" top="1" bottom="1" header="0.5" footer="0.5"/>
  <pageSetup scale="23" orientation="landscape" r:id="rId1"/>
  <headerFooter>
    <oddHeader>&amp;RDraft - Work in Progress</oddHeader>
    <oddFooter>&amp;L&amp;F
&amp;D, &amp;T&amp;C
Page &amp;P of &amp;N&amp;R&amp;A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Results_2025</vt:lpstr>
      <vt:lpstr>Results_2025!unit_of_value_scenario_switch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cp:lastPrinted>2025-11-17T14:16:44Z</cp:lastPrinted>
  <dcterms:created xsi:type="dcterms:W3CDTF">2025-11-01T22:09:58Z</dcterms:created>
  <dcterms:modified xsi:type="dcterms:W3CDTF">2025-11-18T05:51:21Z</dcterms:modified>
</cp:coreProperties>
</file>